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99F03F65-6EE5-B2FF-AC1D-F4DDD12603F5}"/>
  <workbookPr codeName="ThisWorkbook"/>
  <mc:AlternateContent xmlns:mc="http://schemas.openxmlformats.org/markup-compatibility/2006">
    <mc:Choice Requires="x15">
      <x15ac:absPath xmlns:x15ac="http://schemas.microsoft.com/office/spreadsheetml/2010/11/ac" url="C:\Users\Ragan\Documents\stupid ideas\Open Legend RPG_files\Fantasy Battle Character Sheets\Ragan\"/>
    </mc:Choice>
  </mc:AlternateContent>
  <xr:revisionPtr revIDLastSave="0" documentId="13_ncr:1_{D5DAA275-F8AE-4427-863A-FC23D3744719}" xr6:coauthVersionLast="43" xr6:coauthVersionMax="43" xr10:uidLastSave="{00000000-0000-0000-0000-000000000000}"/>
  <bookViews>
    <workbookView xWindow="28680" yWindow="-120" windowWidth="15600" windowHeight="11160" xr2:uid="{00000000-000D-0000-FFFF-FFFF00000000}"/>
  </bookViews>
  <sheets>
    <sheet name="Sheet1" sheetId="1" r:id="rId1"/>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9" i="1" l="1"/>
  <c r="N7" i="1"/>
  <c r="E65" i="1" l="1"/>
  <c r="E64" i="1"/>
  <c r="L14" i="1" l="1"/>
  <c r="T10" i="1"/>
  <c r="L12" i="1" l="1"/>
  <c r="D29" i="1" s="1"/>
  <c r="D35" i="1" l="1"/>
  <c r="B12" i="1"/>
  <c r="B9" i="1" l="1"/>
  <c r="T9" i="1" l="1"/>
  <c r="S32" i="1" l="1"/>
  <c r="R32" i="1"/>
  <c r="P32" i="1"/>
  <c r="C5" i="1" l="1"/>
  <c r="F32" i="1" l="1"/>
  <c r="U4" i="1"/>
  <c r="V4" i="1" s="1"/>
  <c r="U3" i="1"/>
  <c r="V3" i="1" s="1"/>
  <c r="T4" i="1"/>
  <c r="T3" i="1"/>
  <c r="T2" i="1"/>
  <c r="B13" i="1" l="1"/>
  <c r="F25" i="1" l="1"/>
  <c r="F24" i="1"/>
  <c r="F23" i="1"/>
  <c r="F22" i="1"/>
  <c r="F21" i="1"/>
  <c r="F20" i="1"/>
  <c r="F19" i="1"/>
  <c r="F18" i="1"/>
  <c r="F16" i="1"/>
  <c r="F14" i="1"/>
  <c r="F12" i="1"/>
  <c r="F11" i="1"/>
  <c r="F10" i="1"/>
  <c r="F9" i="1"/>
  <c r="F7" i="1"/>
  <c r="F6" i="1"/>
  <c r="F5" i="1"/>
  <c r="F15" i="1"/>
  <c r="C25" i="1"/>
  <c r="C24" i="1"/>
  <c r="C23" i="1"/>
  <c r="C22" i="1"/>
  <c r="C21" i="1"/>
  <c r="C20" i="1"/>
  <c r="C19" i="1"/>
  <c r="C18" i="1"/>
  <c r="C16" i="1"/>
  <c r="C15" i="1"/>
  <c r="C14" i="1"/>
  <c r="C12" i="1"/>
  <c r="C11" i="1"/>
  <c r="C10" i="1"/>
  <c r="C9" i="1"/>
  <c r="C7" i="1"/>
  <c r="C6" i="1"/>
  <c r="B34" i="1" l="1"/>
  <c r="D34" i="1" l="1"/>
  <c r="B6" i="1"/>
  <c r="B35" i="1"/>
  <c r="B27" i="1"/>
  <c r="M14" i="1" l="1"/>
  <c r="M12" i="1"/>
  <c r="C3" i="1" l="1"/>
  <c r="D3" i="1"/>
  <c r="E3" i="1"/>
  <c r="B24" i="1" l="1"/>
  <c r="B23" i="1"/>
  <c r="B18" i="1"/>
  <c r="B20" i="1"/>
  <c r="Q4" i="1" l="1"/>
  <c r="R4" i="1"/>
  <c r="P2" i="1"/>
  <c r="K29" i="1" l="1"/>
  <c r="H2" i="1"/>
  <c r="B5" i="1"/>
  <c r="K21" i="1" l="1"/>
  <c r="K19" i="1"/>
  <c r="K17" i="1"/>
  <c r="D28" i="1"/>
  <c r="B28" i="1"/>
  <c r="K12" i="1"/>
  <c r="K14" i="1"/>
  <c r="K24" i="1"/>
  <c r="F3" i="1"/>
  <c r="B3" i="1"/>
  <c r="L27" i="1"/>
  <c r="L26" i="1"/>
  <c r="B25" i="1"/>
  <c r="B22" i="1"/>
  <c r="B21" i="1"/>
  <c r="B19" i="1"/>
  <c r="B16" i="1"/>
  <c r="B15" i="1"/>
  <c r="B14" i="1"/>
  <c r="B17" i="1"/>
  <c r="B11" i="1"/>
  <c r="B10" i="1"/>
  <c r="B8" i="1"/>
  <c r="B7" i="1"/>
  <c r="B4" i="1"/>
  <c r="B2" i="1"/>
  <c r="U6" i="1" l="1"/>
</calcChain>
</file>

<file path=xl/sharedStrings.xml><?xml version="1.0" encoding="utf-8"?>
<sst xmlns="http://schemas.openxmlformats.org/spreadsheetml/2006/main" count="60" uniqueCount="50">
  <si>
    <t>/</t>
  </si>
  <si>
    <t>LEVEL</t>
  </si>
  <si>
    <t>XP</t>
  </si>
  <si>
    <t>HP:</t>
  </si>
  <si>
    <t>Qnt</t>
  </si>
  <si>
    <t>Stamina</t>
  </si>
  <si>
    <t>Banes &amp; Boons</t>
  </si>
  <si>
    <t>Bane or Boon?</t>
  </si>
  <si>
    <t>AR</t>
  </si>
  <si>
    <t>MP:</t>
  </si>
  <si>
    <t>Power Level</t>
  </si>
  <si>
    <t>Duration</t>
  </si>
  <si>
    <t>Kastun</t>
  </si>
  <si>
    <t>Perception</t>
  </si>
  <si>
    <t>-</t>
  </si>
  <si>
    <t>Knockdown</t>
  </si>
  <si>
    <t>Immobile</t>
  </si>
  <si>
    <t>Provoked</t>
  </si>
  <si>
    <t>Might</t>
  </si>
  <si>
    <t>1+</t>
  </si>
  <si>
    <t>Instant</t>
  </si>
  <si>
    <t>Bane</t>
  </si>
  <si>
    <t>Dis-1 on attacks. +2 Guard vs Ranged Attacks, -2 Guard vs Melee Attacks. Standing up requires half of movement.</t>
  </si>
  <si>
    <t>Fortitude</t>
  </si>
  <si>
    <t>Resist ends (Fail x3 = 1min)</t>
  </si>
  <si>
    <t>Target is immobile. When resist is sucessfull, target can move 4,5m as a Free Action</t>
  </si>
  <si>
    <t>4+</t>
  </si>
  <si>
    <t>Will</t>
  </si>
  <si>
    <t>Attacks against other creatures have Dis-(PL-3). Resisting this is a Minor Action. (range: 15m)</t>
  </si>
  <si>
    <t>Skill / Perk / Feat</t>
  </si>
  <si>
    <t>Description</t>
  </si>
  <si>
    <t>Attribute</t>
  </si>
  <si>
    <t>Cost</t>
  </si>
  <si>
    <t>this is important for Swift &amp; Strong</t>
  </si>
  <si>
    <t>Dodge is no longer automatically 0 if Might is more than 1,5x Agility. Guard is no longer automatically 0 if Agility is more than 1,5x Agility. Might does not negativelly affect Dodge. Size does not negativelly affect Guard or Dodge. +1 Dodge if has at least 6 Guard. +1 Guard if has at least 5 Dodge.</t>
  </si>
  <si>
    <t>Guard:</t>
  </si>
  <si>
    <t>Dodge:</t>
  </si>
  <si>
    <t>Nyzal</t>
  </si>
  <si>
    <t>Moeda de Bronze</t>
  </si>
  <si>
    <t>Quarla</t>
  </si>
  <si>
    <t>Moeda de Prata</t>
  </si>
  <si>
    <t>Normal attacks deal damage with Might -1. "Precise" attacks deal damage with Agility +2. Kastun has advantage 1 on "precise" strikes. On a Perception roll 5 or more above the CR, Kastun gains some information about the enemy (at DM's discretion). (current/max HP/MP and/or Stamina, 1 weakness/ resistance it has, it's level, it's primary Attribute and it's score on it, attack pattern or possible threat level). If the difference between the attack roll and the creature's defense roll/AC by a Banes PL plus 1, you can inflict it for free. If he choses to inflict a bane by this effect, he deals half (rounded up) damage on this attack</t>
  </si>
  <si>
    <t>3 Mana (2 to switch target)</t>
  </si>
  <si>
    <t>Roll Perception against CR decided by the DM. If sucessfull, activate Weakness Exploitation. Can recast to change target. Has Adv+1 on Vision Perception checks while active. Complete Action.</t>
  </si>
  <si>
    <t>Predator's Eye (1 skill pt)</t>
  </si>
  <si>
    <t>Weakness Exploitation II (4 skill pts)</t>
  </si>
  <si>
    <t>Swift &amp; Strong II (6 feat pts)</t>
  </si>
  <si>
    <t>Combat Momentum</t>
  </si>
  <si>
    <t>Can move as a free action after dropping na enemy to 0 hp</t>
  </si>
  <si>
    <t>1 Feat 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</si>
</sst>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5" x14ac:knownFonts="1">
    <font>
      <sz val="11"/>
      <color theme="1"/>
      <name val="Calibri"/>
      <family val="2"/>
      <scheme val="minor"/>
    </font>
    <font>
      <sz val="11"/>
      <color theme="1"/>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sz val="11"/>
      <color theme="0"/>
      <name val="Calibri"/>
      <family val="2"/>
      <scheme val="minor"/>
    </font>
    <font>
      <sz val="20"/>
      <color theme="1"/>
      <name val="Calibri"/>
      <family val="2"/>
      <scheme val="minor"/>
    </font>
    <font>
      <sz val="12"/>
      <color theme="1"/>
      <name val="Calibri"/>
      <family val="2"/>
      <scheme val="minor"/>
    </font>
    <font>
      <sz val="16"/>
      <color theme="1"/>
      <name val="Calibri"/>
      <family val="2"/>
      <scheme val="minor"/>
    </font>
    <font>
      <sz val="18"/>
      <color rgb="FF9C0006"/>
      <name val="Calibri"/>
      <family val="2"/>
      <scheme val="minor"/>
    </font>
    <font>
      <sz val="18"/>
      <color rgb="FF1741F1"/>
      <name val="Calibri"/>
      <family val="2"/>
      <scheme val="minor"/>
    </font>
    <font>
      <sz val="22"/>
      <color rgb="FF9C6500"/>
      <name val="Calibri"/>
      <family val="2"/>
      <scheme val="minor"/>
    </font>
    <font>
      <sz val="14"/>
      <color rgb="FF883406"/>
      <name val="Calibri"/>
      <family val="2"/>
      <scheme val="minor"/>
    </font>
    <font>
      <sz val="14"/>
      <color rgb="FF7E691C"/>
      <name val="Calibri"/>
      <family val="2"/>
      <scheme val="minor"/>
    </font>
    <font>
      <sz val="12"/>
      <color rgb="FF094718"/>
      <name val="Calibri"/>
      <family val="2"/>
      <scheme val="minor"/>
    </font>
    <font>
      <sz val="16"/>
      <color rgb="FF094718"/>
      <name val="Calibri"/>
      <family val="2"/>
      <scheme val="minor"/>
    </font>
    <font>
      <sz val="12"/>
      <color rgb="FF744006"/>
      <name val="Calibri"/>
      <family val="2"/>
      <scheme val="minor"/>
    </font>
    <font>
      <sz val="16"/>
      <color rgb="FF744006"/>
      <name val="Calibri"/>
      <family val="2"/>
      <scheme val="minor"/>
    </font>
    <font>
      <sz val="12"/>
      <color rgb="FF082F86"/>
      <name val="Calibri"/>
      <family val="2"/>
      <scheme val="minor"/>
    </font>
    <font>
      <sz val="16"/>
      <color rgb="FF082F86"/>
      <name val="Calibri"/>
      <family val="2"/>
      <scheme val="minor"/>
    </font>
    <font>
      <sz val="16"/>
      <color rgb="FF883406"/>
      <name val="Calibri"/>
      <family val="2"/>
      <scheme val="minor"/>
    </font>
    <font>
      <sz val="16"/>
      <color rgb="FF7E691C"/>
      <name val="Calibri"/>
      <family val="2"/>
      <scheme val="minor"/>
    </font>
    <font>
      <sz val="14"/>
      <color rgb="FF000000"/>
      <name val="Calibri"/>
      <family val="2"/>
    </font>
    <font>
      <sz val="12"/>
      <color theme="0"/>
      <name val="Calibri"/>
      <family val="2"/>
      <scheme val="minor"/>
    </font>
    <font>
      <sz val="26"/>
      <color rgb="FF883406"/>
      <name val="Calibri"/>
      <family val="2"/>
      <scheme val="minor"/>
    </font>
    <font>
      <sz val="14"/>
      <color theme="0"/>
      <name val="Calibri"/>
      <family val="2"/>
      <scheme val="minor"/>
    </font>
    <font>
      <sz val="16"/>
      <color theme="0"/>
      <name val="Calibri"/>
      <family val="2"/>
      <scheme val="minor"/>
    </font>
    <font>
      <sz val="11"/>
      <color rgb="FF006100"/>
      <name val="Calibri"/>
      <family val="2"/>
      <scheme val="minor"/>
    </font>
    <font>
      <sz val="22"/>
      <color rgb="FF006100"/>
      <name val="Calibri"/>
      <family val="2"/>
      <scheme val="minor"/>
    </font>
    <font>
      <sz val="20"/>
      <color rgb="FF9C0006"/>
      <name val="Calibri"/>
      <family val="2"/>
      <scheme val="minor"/>
    </font>
    <font>
      <sz val="20"/>
      <color rgb="FF1741F1"/>
      <name val="Calibri"/>
      <family val="2"/>
      <scheme val="minor"/>
    </font>
    <font>
      <sz val="22"/>
      <color rgb="FF9C0006"/>
      <name val="Calibri"/>
      <family val="2"/>
      <scheme val="minor"/>
    </font>
    <font>
      <sz val="22"/>
      <color rgb="FF1741F1"/>
      <name val="Calibri"/>
      <family val="2"/>
      <scheme val="minor"/>
    </font>
    <font>
      <sz val="12"/>
      <color rgb="FF9C6500"/>
      <name val="Calibri"/>
      <family val="2"/>
      <scheme val="minor"/>
    </font>
    <font>
      <u/>
      <sz val="11"/>
      <color theme="1"/>
      <name val="Calibri"/>
      <family val="2"/>
      <scheme val="minor"/>
    </font>
  </fonts>
  <fills count="35">
    <fill>
      <patternFill patternType="none"/>
    </fill>
    <fill>
      <patternFill patternType="gray125"/>
    </fill>
    <fill>
      <patternFill patternType="solid">
        <fgColor rgb="FFFFC7CE"/>
      </patternFill>
    </fill>
    <fill>
      <patternFill patternType="solid">
        <fgColor rgb="FFFFEB9C"/>
      </patternFill>
    </fill>
    <fill>
      <patternFill patternType="solid">
        <fgColor rgb="FFFFCC99"/>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rgb="FF9FC4FB"/>
        <bgColor indexed="64"/>
      </patternFill>
    </fill>
    <fill>
      <patternFill patternType="solid">
        <fgColor rgb="FFF9CB6F"/>
        <bgColor indexed="64"/>
      </patternFill>
    </fill>
    <fill>
      <patternFill patternType="solid">
        <fgColor rgb="FFFE7550"/>
        <bgColor indexed="64"/>
      </patternFill>
    </fill>
    <fill>
      <patternFill patternType="solid">
        <fgColor rgb="FFFED562"/>
        <bgColor indexed="64"/>
      </patternFill>
    </fill>
    <fill>
      <patternFill patternType="solid">
        <fgColor rgb="FF55C9FD"/>
        <bgColor indexed="64"/>
      </patternFill>
    </fill>
    <fill>
      <patternFill patternType="solid">
        <fgColor rgb="FF23E509"/>
        <bgColor indexed="64"/>
      </patternFill>
    </fill>
    <fill>
      <patternFill patternType="solid">
        <fgColor theme="1" tint="0.14999847407452621"/>
        <bgColor indexed="64"/>
      </patternFill>
    </fill>
    <fill>
      <patternFill patternType="solid">
        <fgColor theme="9" tint="0.39997558519241921"/>
        <bgColor indexed="65"/>
      </patternFill>
    </fill>
    <fill>
      <patternFill patternType="solid">
        <fgColor theme="4" tint="0.39997558519241921"/>
        <bgColor indexed="65"/>
      </patternFill>
    </fill>
    <fill>
      <patternFill patternType="solid">
        <fgColor rgb="FFC6EFCE"/>
      </patternFill>
    </fill>
    <fill>
      <patternFill patternType="solid">
        <fgColor theme="5" tint="0.39997558519241921"/>
        <bgColor indexed="64"/>
      </patternFill>
    </fill>
    <fill>
      <patternFill patternType="solid">
        <fgColor theme="5" tint="0.59999389629810485"/>
        <bgColor indexed="64"/>
      </patternFill>
    </fill>
  </fills>
  <borders count="52">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thin">
        <color indexed="64"/>
      </bottom>
      <diagonal/>
    </border>
    <border>
      <left style="medium">
        <color indexed="64"/>
      </left>
      <right style="thin">
        <color indexed="64"/>
      </right>
      <top style="medium">
        <color indexed="64"/>
      </top>
      <bottom style="thin">
        <color rgb="FFB2B2B2"/>
      </bottom>
      <diagonal/>
    </border>
    <border>
      <left style="medium">
        <color indexed="64"/>
      </left>
      <right style="thin">
        <color indexed="64"/>
      </right>
      <top style="thin">
        <color rgb="FFB2B2B2"/>
      </top>
      <bottom style="medium">
        <color indexed="64"/>
      </bottom>
      <diagonal/>
    </border>
    <border>
      <left style="medium">
        <color indexed="64"/>
      </left>
      <right style="thin">
        <color rgb="FF7F7F7F"/>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rgb="FF7F7F7F"/>
      </bottom>
      <diagonal/>
    </border>
    <border>
      <left/>
      <right style="medium">
        <color indexed="64"/>
      </right>
      <top/>
      <bottom style="thin">
        <color rgb="FF7F7F7F"/>
      </bottom>
      <diagonal/>
    </border>
    <border>
      <left/>
      <right/>
      <top style="thin">
        <color rgb="FF7F7F7F"/>
      </top>
      <bottom/>
      <diagonal/>
    </border>
    <border>
      <left/>
      <right style="medium">
        <color indexed="64"/>
      </right>
      <top style="thin">
        <color rgb="FF7F7F7F"/>
      </top>
      <bottom/>
      <diagonal/>
    </border>
    <border>
      <left style="medium">
        <color indexed="64"/>
      </left>
      <right/>
      <top/>
      <bottom style="thin">
        <color indexed="64"/>
      </bottom>
      <diagonal/>
    </border>
    <border>
      <left/>
      <right style="medium">
        <color indexed="64"/>
      </right>
      <top/>
      <bottom style="thin">
        <color indexed="64"/>
      </bottom>
      <diagonal/>
    </border>
    <border>
      <left style="thin">
        <color rgb="FF7F7F7F"/>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thin">
        <color rgb="FF7F7F7F"/>
      </top>
      <bottom/>
      <diagonal/>
    </border>
    <border>
      <left style="medium">
        <color indexed="64"/>
      </left>
      <right/>
      <top/>
      <bottom style="thin">
        <color rgb="FF7F7F7F"/>
      </bottom>
      <diagonal/>
    </border>
    <border>
      <left/>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thin">
        <color indexed="64"/>
      </left>
      <right/>
      <top style="thin">
        <color indexed="64"/>
      </top>
      <bottom/>
      <diagonal/>
    </border>
    <border>
      <left/>
      <right style="medium">
        <color indexed="64"/>
      </right>
      <top style="thin">
        <color indexed="64"/>
      </top>
      <bottom/>
      <diagonal/>
    </border>
  </borders>
  <cellStyleXfs count="2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 fillId="5" borderId="2" applyNumberFormat="0" applyFont="0" applyAlignment="0" applyProtection="0"/>
    <xf numFmtId="0" fontId="5"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5"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5" fillId="17" borderId="0" applyNumberFormat="0" applyBorder="0" applyAlignment="0" applyProtection="0"/>
    <xf numFmtId="0" fontId="1"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7" fillId="32" borderId="0" applyNumberFormat="0" applyBorder="0" applyAlignment="0" applyProtection="0"/>
  </cellStyleXfs>
  <cellXfs count="183">
    <xf numFmtId="0" fontId="0" fillId="0" borderId="0" xfId="0"/>
    <xf numFmtId="0" fontId="0" fillId="5" borderId="31" xfId="4" applyFont="1" applyBorder="1" applyAlignment="1">
      <alignment horizontal="center"/>
    </xf>
    <xf numFmtId="0" fontId="0" fillId="5" borderId="32" xfId="4" applyFont="1" applyBorder="1" applyAlignment="1">
      <alignment horizontal="center"/>
    </xf>
    <xf numFmtId="0" fontId="23" fillId="29" borderId="0" xfId="0" applyFont="1" applyFill="1" applyAlignment="1">
      <alignment horizontal="center" vertical="center" wrapText="1"/>
    </xf>
    <xf numFmtId="0" fontId="23" fillId="29" borderId="0" xfId="0" applyFont="1" applyFill="1" applyAlignment="1">
      <alignment horizontal="center" vertical="center"/>
    </xf>
    <xf numFmtId="0" fontId="24" fillId="25" borderId="43" xfId="3" applyFont="1" applyFill="1" applyBorder="1" applyAlignment="1">
      <alignment horizontal="center" vertical="center"/>
    </xf>
    <xf numFmtId="0" fontId="20" fillId="25" borderId="44" xfId="3" applyFont="1" applyFill="1" applyBorder="1" applyAlignment="1">
      <alignment horizontal="center" vertical="center"/>
    </xf>
    <xf numFmtId="0" fontId="24" fillId="25" borderId="11" xfId="3" applyFont="1" applyFill="1" applyBorder="1" applyAlignment="1">
      <alignment horizontal="center" vertical="center"/>
    </xf>
    <xf numFmtId="0" fontId="23" fillId="12" borderId="11" xfId="11" applyFont="1" applyBorder="1"/>
    <xf numFmtId="0" fontId="33" fillId="3" borderId="10" xfId="2" applyFont="1" applyBorder="1" applyAlignment="1">
      <alignment horizontal="center" vertical="center"/>
    </xf>
    <xf numFmtId="0" fontId="33" fillId="3" borderId="50" xfId="2" applyFont="1" applyBorder="1" applyAlignment="1">
      <alignment horizontal="center" vertical="center"/>
    </xf>
    <xf numFmtId="0" fontId="33" fillId="3" borderId="9" xfId="2" applyFont="1" applyBorder="1" applyAlignment="1">
      <alignment horizontal="center" vertical="center"/>
    </xf>
    <xf numFmtId="0" fontId="33" fillId="3" borderId="51" xfId="2" applyFont="1" applyBorder="1" applyAlignment="1">
      <alignment horizontal="center" vertical="center"/>
    </xf>
    <xf numFmtId="0" fontId="7" fillId="33" borderId="0" xfId="0" applyFont="1" applyFill="1" applyAlignment="1">
      <alignment horizontal="center" vertical="center"/>
    </xf>
    <xf numFmtId="0" fontId="0" fillId="22" borderId="9" xfId="21" applyFont="1" applyBorder="1" applyAlignment="1">
      <alignment horizontal="center"/>
    </xf>
    <xf numFmtId="0" fontId="0" fillId="0" borderId="9" xfId="0" applyBorder="1"/>
    <xf numFmtId="0" fontId="0" fillId="0" borderId="18" xfId="0" applyBorder="1"/>
    <xf numFmtId="0" fontId="5" fillId="12" borderId="44" xfId="11" applyBorder="1"/>
    <xf numFmtId="0" fontId="5" fillId="13" borderId="22" xfId="12" applyBorder="1" applyAlignment="1">
      <alignment horizontal="center"/>
    </xf>
    <xf numFmtId="0" fontId="5" fillId="13" borderId="15" xfId="12" applyBorder="1" applyAlignment="1">
      <alignment horizontal="center"/>
    </xf>
    <xf numFmtId="0" fontId="5" fillId="13" borderId="18" xfId="12" applyBorder="1" applyAlignment="1">
      <alignment horizontal="center"/>
    </xf>
    <xf numFmtId="0" fontId="0" fillId="0" borderId="0" xfId="0" applyAlignment="1">
      <alignment vertical="center"/>
    </xf>
    <xf numFmtId="0" fontId="3" fillId="26" borderId="49" xfId="2" applyFill="1" applyBorder="1" applyAlignment="1">
      <alignment horizontal="center" vertical="center"/>
    </xf>
    <xf numFmtId="0" fontId="5" fillId="30" borderId="0" xfId="22" applyAlignment="1">
      <alignment horizontal="center" vertical="center"/>
    </xf>
    <xf numFmtId="0" fontId="3" fillId="26" borderId="48" xfId="2" applyFill="1" applyBorder="1" applyAlignment="1">
      <alignment horizontal="center" vertical="center"/>
    </xf>
    <xf numFmtId="0" fontId="0" fillId="11" borderId="22" xfId="10" applyFont="1" applyBorder="1"/>
    <xf numFmtId="0" fontId="0" fillId="11" borderId="0" xfId="10" applyFont="1" applyAlignment="1">
      <alignment horizontal="center"/>
    </xf>
    <xf numFmtId="0" fontId="0" fillId="11" borderId="18" xfId="10" applyFont="1" applyBorder="1" applyAlignment="1">
      <alignment horizontal="center"/>
    </xf>
    <xf numFmtId="0" fontId="0" fillId="0" borderId="0" xfId="0" applyAlignment="1">
      <alignment horizontal="center" vertical="center"/>
    </xf>
    <xf numFmtId="0" fontId="0" fillId="0" borderId="0" xfId="0" applyAlignment="1">
      <alignment horizontal="left"/>
    </xf>
    <xf numFmtId="0" fontId="0" fillId="10" borderId="22" xfId="9" applyFont="1" applyBorder="1"/>
    <xf numFmtId="0" fontId="0" fillId="10" borderId="0" xfId="9" applyFont="1" applyAlignment="1">
      <alignment horizontal="center"/>
    </xf>
    <xf numFmtId="0" fontId="0" fillId="10" borderId="18" xfId="9" applyFont="1" applyBorder="1" applyAlignment="1">
      <alignment horizontal="center"/>
    </xf>
    <xf numFmtId="0" fontId="0" fillId="0" borderId="0" xfId="0" applyAlignment="1">
      <alignment horizontal="center"/>
    </xf>
    <xf numFmtId="0" fontId="0" fillId="11" borderId="25" xfId="10" applyFont="1" applyBorder="1"/>
    <xf numFmtId="0" fontId="0" fillId="11" borderId="9" xfId="10" applyFont="1" applyBorder="1" applyAlignment="1">
      <alignment horizontal="center"/>
    </xf>
    <xf numFmtId="0" fontId="0" fillId="11" borderId="26" xfId="10" applyFont="1" applyBorder="1" applyAlignment="1">
      <alignment horizontal="center"/>
    </xf>
    <xf numFmtId="0" fontId="0" fillId="8" borderId="22" xfId="7" applyFont="1" applyBorder="1"/>
    <xf numFmtId="0" fontId="0" fillId="8" borderId="0" xfId="7" applyFont="1" applyAlignment="1">
      <alignment horizontal="center"/>
    </xf>
    <xf numFmtId="0" fontId="0" fillId="8" borderId="18" xfId="7" applyFont="1" applyBorder="1" applyAlignment="1">
      <alignment horizontal="center"/>
    </xf>
    <xf numFmtId="0" fontId="0" fillId="7" borderId="22" xfId="6" applyFont="1" applyBorder="1"/>
    <xf numFmtId="0" fontId="0" fillId="7" borderId="0" xfId="6" applyFont="1" applyAlignment="1">
      <alignment horizontal="center"/>
    </xf>
    <xf numFmtId="0" fontId="0" fillId="7" borderId="18" xfId="6" applyFont="1" applyBorder="1" applyAlignment="1">
      <alignment horizontal="center"/>
    </xf>
    <xf numFmtId="0" fontId="0" fillId="34" borderId="0" xfId="0" applyFill="1" applyAlignment="1">
      <alignment horizontal="center"/>
    </xf>
    <xf numFmtId="0" fontId="0" fillId="22" borderId="22" xfId="21" applyFont="1" applyBorder="1"/>
    <xf numFmtId="0" fontId="0" fillId="22" borderId="0" xfId="21" applyFont="1" applyAlignment="1">
      <alignment horizontal="center"/>
    </xf>
    <xf numFmtId="0" fontId="0" fillId="22" borderId="18" xfId="21" applyFont="1" applyBorder="1" applyAlignment="1">
      <alignment horizontal="center"/>
    </xf>
    <xf numFmtId="0" fontId="0" fillId="21" borderId="22" xfId="20" applyFont="1" applyBorder="1"/>
    <xf numFmtId="0" fontId="0" fillId="21" borderId="0" xfId="20" applyFont="1" applyAlignment="1">
      <alignment horizontal="center"/>
    </xf>
    <xf numFmtId="0" fontId="0" fillId="21" borderId="18" xfId="20" applyFont="1" applyBorder="1" applyAlignment="1">
      <alignment horizontal="center"/>
    </xf>
    <xf numFmtId="0" fontId="0" fillId="22" borderId="25" xfId="21" applyFont="1" applyBorder="1"/>
    <xf numFmtId="0" fontId="0" fillId="22" borderId="26" xfId="21" applyFont="1" applyBorder="1" applyAlignment="1">
      <alignment horizontal="center"/>
    </xf>
    <xf numFmtId="0" fontId="0" fillId="16" borderId="22" xfId="15" applyFont="1" applyBorder="1"/>
    <xf numFmtId="0" fontId="0" fillId="16" borderId="0" xfId="15" applyFont="1" applyAlignment="1">
      <alignment horizontal="center"/>
    </xf>
    <xf numFmtId="0" fontId="0" fillId="16" borderId="18" xfId="15" applyFont="1" applyBorder="1" applyAlignment="1">
      <alignment horizontal="center"/>
    </xf>
    <xf numFmtId="0" fontId="0" fillId="15" borderId="22" xfId="14" applyFont="1" applyBorder="1"/>
    <xf numFmtId="0" fontId="0" fillId="15" borderId="0" xfId="14" applyFont="1" applyAlignment="1">
      <alignment horizontal="center"/>
    </xf>
    <xf numFmtId="0" fontId="0" fillId="15" borderId="18" xfId="14" applyFont="1" applyBorder="1" applyAlignment="1">
      <alignment horizontal="center"/>
    </xf>
    <xf numFmtId="0" fontId="0" fillId="15" borderId="27" xfId="14" applyFont="1" applyBorder="1"/>
    <xf numFmtId="0" fontId="0" fillId="15" borderId="28" xfId="14" applyFont="1" applyBorder="1" applyAlignment="1">
      <alignment horizontal="center"/>
    </xf>
    <xf numFmtId="0" fontId="0" fillId="15" borderId="29" xfId="14" applyFont="1" applyBorder="1" applyAlignment="1">
      <alignment horizontal="center"/>
    </xf>
    <xf numFmtId="0" fontId="4" fillId="4" borderId="33" xfId="3" applyBorder="1" applyAlignment="1">
      <alignment horizontal="center"/>
    </xf>
    <xf numFmtId="0" fontId="5" fillId="31" borderId="0" xfId="23" applyAlignment="1">
      <alignment horizontal="center" vertical="center"/>
    </xf>
    <xf numFmtId="0" fontId="5" fillId="31" borderId="0" xfId="23" applyAlignment="1">
      <alignment horizontal="center" vertical="center" wrapText="1"/>
    </xf>
    <xf numFmtId="0" fontId="0" fillId="0" borderId="0" xfId="0" applyAlignment="1">
      <alignment horizontal="center" vertical="center" wrapText="1"/>
    </xf>
    <xf numFmtId="16" fontId="0" fillId="0" borderId="0" xfId="0" quotePrefix="1" applyNumberFormat="1" applyAlignment="1">
      <alignment horizontal="center" vertical="center"/>
    </xf>
    <xf numFmtId="0" fontId="0" fillId="0" borderId="0" xfId="0" applyAlignment="1">
      <alignment horizontal="left" vertical="center" wrapText="1"/>
    </xf>
    <xf numFmtId="0" fontId="0" fillId="0" borderId="0" xfId="0" quotePrefix="1" applyAlignment="1">
      <alignment horizontal="center" vertical="center" wrapText="1"/>
    </xf>
    <xf numFmtId="0" fontId="0" fillId="0" borderId="0" xfId="0" applyAlignment="1">
      <alignment wrapText="1"/>
    </xf>
    <xf numFmtId="0" fontId="3" fillId="3" borderId="0" xfId="2"/>
    <xf numFmtId="0" fontId="0" fillId="0" borderId="0" xfId="0" applyAlignment="1">
      <alignment horizontal="left" vertical="center"/>
    </xf>
    <xf numFmtId="0" fontId="28" fillId="32" borderId="5" xfId="24" applyFont="1" applyBorder="1" applyAlignment="1">
      <alignment horizontal="center"/>
    </xf>
    <xf numFmtId="0" fontId="28" fillId="32" borderId="10" xfId="24" applyFont="1" applyBorder="1" applyAlignment="1">
      <alignment horizontal="center"/>
    </xf>
    <xf numFmtId="0" fontId="16" fillId="26" borderId="6" xfId="0" applyFont="1" applyFill="1" applyBorder="1" applyAlignment="1">
      <alignment horizontal="center" vertical="center"/>
    </xf>
    <xf numFmtId="0" fontId="16" fillId="26" borderId="0" xfId="0" applyFont="1" applyFill="1" applyAlignment="1">
      <alignment horizontal="center" vertical="center"/>
    </xf>
    <xf numFmtId="0" fontId="16" fillId="26" borderId="8" xfId="0" applyFont="1" applyFill="1" applyBorder="1" applyAlignment="1">
      <alignment horizontal="center" vertical="center"/>
    </xf>
    <xf numFmtId="0" fontId="16" fillId="26" borderId="9" xfId="0" applyFont="1" applyFill="1" applyBorder="1" applyAlignment="1">
      <alignment horizontal="center" vertical="center"/>
    </xf>
    <xf numFmtId="0" fontId="15" fillId="28" borderId="5" xfId="0" applyFont="1" applyFill="1" applyBorder="1" applyAlignment="1">
      <alignment horizontal="center" vertical="center"/>
    </xf>
    <xf numFmtId="0" fontId="15" fillId="28" borderId="41" xfId="0" applyFont="1" applyFill="1" applyBorder="1" applyAlignment="1">
      <alignment horizontal="center" vertical="center"/>
    </xf>
    <xf numFmtId="0" fontId="11" fillId="3" borderId="4" xfId="2" applyFont="1" applyBorder="1" applyAlignment="1">
      <alignment horizontal="center" vertical="center"/>
    </xf>
    <xf numFmtId="0" fontId="11" fillId="3" borderId="5" xfId="2" applyFont="1" applyBorder="1" applyAlignment="1">
      <alignment horizontal="center" vertical="center"/>
    </xf>
    <xf numFmtId="0" fontId="11" fillId="3" borderId="9" xfId="2" applyFont="1" applyBorder="1" applyAlignment="1">
      <alignment horizontal="center" vertical="center"/>
    </xf>
    <xf numFmtId="0" fontId="11" fillId="3" borderId="10" xfId="2" applyFont="1" applyBorder="1" applyAlignment="1">
      <alignment horizontal="center" vertical="center"/>
    </xf>
    <xf numFmtId="0" fontId="11" fillId="3" borderId="3" xfId="2" applyFont="1" applyBorder="1" applyAlignment="1">
      <alignment horizontal="center" vertical="center"/>
    </xf>
    <xf numFmtId="0" fontId="11" fillId="3" borderId="8" xfId="2" applyFont="1" applyBorder="1" applyAlignment="1">
      <alignment horizontal="center" vertical="center"/>
    </xf>
    <xf numFmtId="0" fontId="31" fillId="2" borderId="3" xfId="1" applyFont="1" applyBorder="1" applyAlignment="1">
      <alignment horizontal="center" vertical="center"/>
    </xf>
    <xf numFmtId="0" fontId="31" fillId="2" borderId="8" xfId="1" applyFont="1" applyBorder="1" applyAlignment="1">
      <alignment horizontal="center" vertical="center"/>
    </xf>
    <xf numFmtId="0" fontId="26" fillId="20" borderId="0" xfId="19" applyFont="1" applyAlignment="1">
      <alignment horizontal="center" vertical="center"/>
    </xf>
    <xf numFmtId="0" fontId="29" fillId="2" borderId="4" xfId="1" applyFont="1" applyBorder="1" applyAlignment="1">
      <alignment horizontal="center" vertical="center"/>
    </xf>
    <xf numFmtId="0" fontId="29" fillId="2" borderId="9" xfId="1" applyFont="1" applyBorder="1" applyAlignment="1">
      <alignment horizontal="center" vertical="center"/>
    </xf>
    <xf numFmtId="0" fontId="31" fillId="2" borderId="4" xfId="1" applyFont="1" applyBorder="1" applyAlignment="1">
      <alignment horizontal="center" vertical="center"/>
    </xf>
    <xf numFmtId="0" fontId="31" fillId="2" borderId="9" xfId="1" applyFont="1" applyBorder="1" applyAlignment="1">
      <alignment horizontal="center" vertical="center"/>
    </xf>
    <xf numFmtId="0" fontId="29" fillId="2" borderId="5" xfId="1" applyFont="1" applyBorder="1" applyAlignment="1">
      <alignment horizontal="center" vertical="center"/>
    </xf>
    <xf numFmtId="0" fontId="29" fillId="2" borderId="10" xfId="1" applyFont="1" applyBorder="1" applyAlignment="1">
      <alignment horizontal="center" vertical="center"/>
    </xf>
    <xf numFmtId="0" fontId="32" fillId="23" borderId="4" xfId="1" applyFont="1" applyFill="1" applyBorder="1" applyAlignment="1">
      <alignment horizontal="center" vertical="center"/>
    </xf>
    <xf numFmtId="0" fontId="32" fillId="23" borderId="9" xfId="1" applyFont="1" applyFill="1" applyBorder="1" applyAlignment="1">
      <alignment horizontal="center" vertical="center"/>
    </xf>
    <xf numFmtId="0" fontId="30" fillId="23" borderId="5" xfId="1" applyFont="1" applyFill="1" applyBorder="1" applyAlignment="1">
      <alignment horizontal="center" vertical="center"/>
    </xf>
    <xf numFmtId="0" fontId="30" fillId="23" borderId="10" xfId="1" applyFont="1" applyFill="1" applyBorder="1" applyAlignment="1">
      <alignment horizontal="center" vertical="center"/>
    </xf>
    <xf numFmtId="0" fontId="14" fillId="28" borderId="3" xfId="0" applyFont="1" applyFill="1" applyBorder="1" applyAlignment="1">
      <alignment horizontal="center" vertical="center"/>
    </xf>
    <xf numFmtId="0" fontId="14" fillId="28" borderId="4" xfId="0" applyFont="1" applyFill="1" applyBorder="1" applyAlignment="1">
      <alignment horizontal="center" vertical="center"/>
    </xf>
    <xf numFmtId="0" fontId="14" fillId="28" borderId="40" xfId="0" applyFont="1" applyFill="1" applyBorder="1" applyAlignment="1">
      <alignment horizontal="center" vertical="center"/>
    </xf>
    <xf numFmtId="0" fontId="14" fillId="28" borderId="30" xfId="0" applyFont="1" applyFill="1" applyBorder="1" applyAlignment="1">
      <alignment horizontal="center" vertical="center"/>
    </xf>
    <xf numFmtId="0" fontId="5" fillId="19" borderId="16" xfId="18" applyBorder="1" applyAlignment="1">
      <alignment horizontal="center"/>
    </xf>
    <xf numFmtId="0" fontId="5" fillId="19" borderId="47" xfId="18" applyBorder="1" applyAlignment="1">
      <alignment horizontal="center"/>
    </xf>
    <xf numFmtId="0" fontId="5" fillId="19" borderId="35" xfId="18" applyBorder="1" applyAlignment="1">
      <alignment horizontal="center"/>
    </xf>
    <xf numFmtId="0" fontId="32" fillId="23" borderId="3" xfId="1" applyFont="1" applyFill="1" applyBorder="1" applyAlignment="1">
      <alignment horizontal="center" vertical="center"/>
    </xf>
    <xf numFmtId="0" fontId="32" fillId="23" borderId="8" xfId="1" applyFont="1" applyFill="1" applyBorder="1" applyAlignment="1">
      <alignment horizontal="center" vertical="center"/>
    </xf>
    <xf numFmtId="0" fontId="12" fillId="25" borderId="3" xfId="3" applyFont="1" applyFill="1" applyBorder="1" applyAlignment="1">
      <alignment horizontal="center" vertical="center"/>
    </xf>
    <xf numFmtId="0" fontId="12" fillId="25" borderId="46" xfId="3" applyFont="1" applyFill="1" applyBorder="1" applyAlignment="1">
      <alignment horizontal="center" vertical="center"/>
    </xf>
    <xf numFmtId="0" fontId="20" fillId="25" borderId="4" xfId="3" applyFont="1" applyFill="1" applyBorder="1" applyAlignment="1">
      <alignment horizontal="center" vertical="center"/>
    </xf>
    <xf numFmtId="0" fontId="20" fillId="25" borderId="36" xfId="3" applyFont="1" applyFill="1" applyBorder="1" applyAlignment="1">
      <alignment horizontal="center" vertical="center"/>
    </xf>
    <xf numFmtId="0" fontId="28" fillId="32" borderId="3" xfId="24" applyFont="1" applyBorder="1" applyAlignment="1">
      <alignment horizontal="center"/>
    </xf>
    <xf numFmtId="0" fontId="28" fillId="32" borderId="8" xfId="24" applyFont="1" applyBorder="1" applyAlignment="1">
      <alignment horizontal="center"/>
    </xf>
    <xf numFmtId="0" fontId="9" fillId="2" borderId="4" xfId="1" applyFont="1" applyBorder="1" applyAlignment="1">
      <alignment horizontal="center" vertical="center"/>
    </xf>
    <xf numFmtId="0" fontId="9" fillId="2" borderId="5" xfId="1" applyFont="1" applyBorder="1" applyAlignment="1">
      <alignment horizontal="center" vertical="center"/>
    </xf>
    <xf numFmtId="0" fontId="9" fillId="2" borderId="3" xfId="1" applyFont="1" applyBorder="1" applyAlignment="1">
      <alignment horizontal="center" vertical="center"/>
    </xf>
    <xf numFmtId="0" fontId="10" fillId="23" borderId="44" xfId="1" applyFont="1" applyFill="1" applyBorder="1" applyAlignment="1">
      <alignment horizontal="center" vertical="center"/>
    </xf>
    <xf numFmtId="0" fontId="10" fillId="23" borderId="43" xfId="1" applyFont="1" applyFill="1" applyBorder="1" applyAlignment="1">
      <alignment horizontal="center" vertical="center"/>
    </xf>
    <xf numFmtId="0" fontId="10" fillId="23" borderId="11" xfId="1" applyFont="1" applyFill="1" applyBorder="1" applyAlignment="1">
      <alignment horizontal="center" vertical="center"/>
    </xf>
    <xf numFmtId="0" fontId="3" fillId="26" borderId="6" xfId="2" applyFill="1" applyBorder="1" applyAlignment="1">
      <alignment horizontal="center" vertical="center"/>
    </xf>
    <xf numFmtId="0" fontId="3" fillId="26" borderId="0" xfId="2" applyFill="1" applyAlignment="1">
      <alignment horizontal="center" vertical="center"/>
    </xf>
    <xf numFmtId="0" fontId="3" fillId="26" borderId="7" xfId="2" applyFill="1" applyBorder="1" applyAlignment="1">
      <alignment horizontal="center" vertical="center"/>
    </xf>
    <xf numFmtId="0" fontId="25" fillId="6" borderId="0" xfId="5" applyFont="1" applyAlignment="1">
      <alignment horizontal="center" vertical="center"/>
    </xf>
    <xf numFmtId="0" fontId="5" fillId="14" borderId="23" xfId="13" applyBorder="1" applyAlignment="1">
      <alignment horizontal="center"/>
    </xf>
    <xf numFmtId="0" fontId="5" fillId="14" borderId="12" xfId="13" applyBorder="1" applyAlignment="1">
      <alignment horizontal="center"/>
    </xf>
    <xf numFmtId="0" fontId="5" fillId="14" borderId="24" xfId="13" applyBorder="1" applyAlignment="1">
      <alignment horizontal="center"/>
    </xf>
    <xf numFmtId="0" fontId="5" fillId="20" borderId="23" xfId="19" applyBorder="1" applyAlignment="1">
      <alignment horizontal="center"/>
    </xf>
    <xf numFmtId="0" fontId="5" fillId="20" borderId="12" xfId="19" applyBorder="1" applyAlignment="1">
      <alignment horizontal="center"/>
    </xf>
    <xf numFmtId="0" fontId="5" fillId="20" borderId="24" xfId="19" applyBorder="1" applyAlignment="1">
      <alignment horizontal="center"/>
    </xf>
    <xf numFmtId="0" fontId="5" fillId="6" borderId="23" xfId="5" applyBorder="1" applyAlignment="1">
      <alignment horizontal="center"/>
    </xf>
    <xf numFmtId="0" fontId="5" fillId="6" borderId="12" xfId="5" applyBorder="1" applyAlignment="1">
      <alignment horizontal="center"/>
    </xf>
    <xf numFmtId="0" fontId="5" fillId="6" borderId="24" xfId="5" applyBorder="1" applyAlignment="1">
      <alignment horizontal="center"/>
    </xf>
    <xf numFmtId="0" fontId="5" fillId="9" borderId="23" xfId="8" applyBorder="1" applyAlignment="1">
      <alignment horizontal="center"/>
    </xf>
    <xf numFmtId="0" fontId="5" fillId="9" borderId="12" xfId="8" applyBorder="1" applyAlignment="1">
      <alignment horizontal="center"/>
    </xf>
    <xf numFmtId="0" fontId="5" fillId="9" borderId="24" xfId="8" applyBorder="1" applyAlignment="1">
      <alignment horizontal="center"/>
    </xf>
    <xf numFmtId="0" fontId="4" fillId="4" borderId="42" xfId="3" applyBorder="1" applyAlignment="1">
      <alignment horizontal="center"/>
    </xf>
    <xf numFmtId="0" fontId="4" fillId="4" borderId="43" xfId="3" applyBorder="1" applyAlignment="1">
      <alignment horizontal="center"/>
    </xf>
    <xf numFmtId="0" fontId="4" fillId="4" borderId="11" xfId="3" applyBorder="1" applyAlignment="1">
      <alignment horizontal="center"/>
    </xf>
    <xf numFmtId="0" fontId="7" fillId="5" borderId="31" xfId="4" applyFont="1" applyBorder="1" applyAlignment="1">
      <alignment horizontal="center" vertical="center" wrapText="1"/>
    </xf>
    <xf numFmtId="0" fontId="7" fillId="5" borderId="32" xfId="4" applyFont="1" applyBorder="1" applyAlignment="1">
      <alignment horizontal="center" vertical="center" wrapText="1"/>
    </xf>
    <xf numFmtId="0" fontId="5" fillId="17" borderId="14" xfId="16" applyBorder="1" applyAlignment="1">
      <alignment horizontal="center"/>
    </xf>
    <xf numFmtId="0" fontId="5" fillId="17" borderId="12" xfId="16" applyBorder="1" applyAlignment="1">
      <alignment horizontal="center"/>
    </xf>
    <xf numFmtId="0" fontId="5" fillId="17" borderId="13" xfId="16" applyBorder="1" applyAlignment="1">
      <alignment horizontal="center"/>
    </xf>
    <xf numFmtId="0" fontId="5" fillId="19" borderId="34" xfId="18" applyBorder="1" applyAlignment="1">
      <alignment horizontal="center"/>
    </xf>
    <xf numFmtId="0" fontId="5" fillId="19" borderId="17" xfId="18" applyBorder="1" applyAlignment="1">
      <alignment horizontal="center"/>
    </xf>
    <xf numFmtId="0" fontId="8" fillId="18" borderId="6" xfId="17" applyFont="1" applyBorder="1" applyAlignment="1">
      <alignment horizontal="center" vertical="center"/>
    </xf>
    <xf numFmtId="0" fontId="8" fillId="18" borderId="0" xfId="17" applyFont="1" applyAlignment="1">
      <alignment horizontal="center" vertical="center"/>
    </xf>
    <xf numFmtId="0" fontId="8" fillId="18" borderId="8" xfId="17" applyFont="1" applyBorder="1" applyAlignment="1">
      <alignment horizontal="center" vertical="center"/>
    </xf>
    <xf numFmtId="0" fontId="8" fillId="18" borderId="9" xfId="17" applyFont="1" applyBorder="1" applyAlignment="1">
      <alignment horizontal="center" vertical="center"/>
    </xf>
    <xf numFmtId="0" fontId="8" fillId="18" borderId="7" xfId="17" applyFont="1" applyBorder="1" applyAlignment="1">
      <alignment horizontal="center" vertical="center"/>
    </xf>
    <xf numFmtId="0" fontId="8" fillId="18" borderId="10" xfId="17" applyFont="1" applyBorder="1" applyAlignment="1">
      <alignment horizontal="center" vertical="center"/>
    </xf>
    <xf numFmtId="0" fontId="3" fillId="3" borderId="0" xfId="2" applyAlignment="1">
      <alignment horizontal="center" wrapText="1"/>
    </xf>
    <xf numFmtId="0" fontId="5" fillId="12" borderId="19" xfId="11" applyBorder="1" applyAlignment="1">
      <alignment horizontal="center"/>
    </xf>
    <xf numFmtId="0" fontId="5" fillId="12" borderId="20" xfId="11" applyBorder="1" applyAlignment="1">
      <alignment horizontal="center"/>
    </xf>
    <xf numFmtId="0" fontId="5" fillId="12" borderId="21" xfId="11" applyBorder="1" applyAlignment="1">
      <alignment horizontal="center"/>
    </xf>
    <xf numFmtId="0" fontId="6" fillId="5" borderId="4" xfId="4" applyFont="1" applyBorder="1" applyAlignment="1">
      <alignment horizontal="center" vertical="center"/>
    </xf>
    <xf numFmtId="0" fontId="6" fillId="5" borderId="5" xfId="4" applyFont="1" applyBorder="1" applyAlignment="1">
      <alignment horizontal="center" vertical="center"/>
    </xf>
    <xf numFmtId="0" fontId="6" fillId="5" borderId="0" xfId="4" applyFont="1" applyBorder="1" applyAlignment="1">
      <alignment horizontal="center" vertical="center"/>
    </xf>
    <xf numFmtId="0" fontId="6" fillId="5" borderId="7" xfId="4" applyFont="1" applyBorder="1" applyAlignment="1">
      <alignment horizontal="center" vertical="center"/>
    </xf>
    <xf numFmtId="0" fontId="0" fillId="5" borderId="9" xfId="4" applyFont="1" applyBorder="1" applyAlignment="1">
      <alignment horizontal="center"/>
    </xf>
    <xf numFmtId="0" fontId="0" fillId="5" borderId="10" xfId="4" applyFont="1" applyBorder="1" applyAlignment="1">
      <alignment horizontal="center"/>
    </xf>
    <xf numFmtId="0" fontId="0" fillId="5" borderId="4" xfId="4" applyFont="1" applyBorder="1" applyAlignment="1">
      <alignment horizontal="center"/>
    </xf>
    <xf numFmtId="0" fontId="0" fillId="5" borderId="5" xfId="4" applyFont="1" applyBorder="1" applyAlignment="1">
      <alignment horizontal="center"/>
    </xf>
    <xf numFmtId="0" fontId="20" fillId="25" borderId="5" xfId="3" applyFont="1" applyFill="1" applyBorder="1" applyAlignment="1">
      <alignment horizontal="center" vertical="center"/>
    </xf>
    <xf numFmtId="0" fontId="20" fillId="25" borderId="37" xfId="3" applyFont="1" applyFill="1" applyBorder="1" applyAlignment="1">
      <alignment horizontal="center" vertical="center"/>
    </xf>
    <xf numFmtId="0" fontId="30" fillId="23" borderId="4" xfId="1" applyFont="1" applyFill="1" applyBorder="1" applyAlignment="1">
      <alignment horizontal="center" vertical="center"/>
    </xf>
    <xf numFmtId="0" fontId="30" fillId="23" borderId="9" xfId="1" applyFont="1" applyFill="1" applyBorder="1" applyAlignment="1">
      <alignment horizontal="center" vertical="center"/>
    </xf>
    <xf numFmtId="0" fontId="21" fillId="24" borderId="39" xfId="3" applyFont="1" applyFill="1" applyBorder="1" applyAlignment="1">
      <alignment horizontal="center" vertical="center"/>
    </xf>
    <xf numFmtId="0" fontId="21" fillId="24" borderId="10" xfId="3" applyFont="1" applyFill="1" applyBorder="1" applyAlignment="1">
      <alignment horizontal="center" vertical="center"/>
    </xf>
    <xf numFmtId="0" fontId="21" fillId="24" borderId="38" xfId="3" applyFont="1" applyFill="1" applyBorder="1" applyAlignment="1">
      <alignment horizontal="center" vertical="center"/>
    </xf>
    <xf numFmtId="0" fontId="21" fillId="24" borderId="9" xfId="3" applyFont="1" applyFill="1" applyBorder="1" applyAlignment="1">
      <alignment horizontal="center" vertical="center"/>
    </xf>
    <xf numFmtId="0" fontId="19" fillId="27" borderId="7" xfId="0" applyFont="1" applyFill="1" applyBorder="1" applyAlignment="1">
      <alignment horizontal="center" vertical="center"/>
    </xf>
    <xf numFmtId="0" fontId="19" fillId="27" borderId="41" xfId="0" applyFont="1" applyFill="1" applyBorder="1" applyAlignment="1">
      <alignment horizontal="center" vertical="center"/>
    </xf>
    <xf numFmtId="0" fontId="18" fillId="27" borderId="6" xfId="0" applyFont="1" applyFill="1" applyBorder="1" applyAlignment="1">
      <alignment horizontal="center" vertical="center"/>
    </xf>
    <xf numFmtId="0" fontId="18" fillId="27" borderId="0" xfId="0" applyFont="1" applyFill="1" applyAlignment="1">
      <alignment horizontal="center" vertical="center"/>
    </xf>
    <xf numFmtId="0" fontId="18" fillId="27" borderId="40" xfId="0" applyFont="1" applyFill="1" applyBorder="1" applyAlignment="1">
      <alignment horizontal="center" vertical="center"/>
    </xf>
    <xf numFmtId="0" fontId="18" fillId="27" borderId="30" xfId="0" applyFont="1" applyFill="1" applyBorder="1" applyAlignment="1">
      <alignment horizontal="center" vertical="center"/>
    </xf>
    <xf numFmtId="0" fontId="13" fillId="24" borderId="45" xfId="3" applyFont="1" applyFill="1" applyBorder="1" applyAlignment="1">
      <alignment horizontal="center" vertical="center"/>
    </xf>
    <xf numFmtId="0" fontId="13" fillId="24" borderId="8" xfId="3" applyFont="1" applyFill="1" applyBorder="1" applyAlignment="1">
      <alignment horizontal="center" vertical="center"/>
    </xf>
    <xf numFmtId="0" fontId="17" fillId="26" borderId="7" xfId="0" applyFont="1" applyFill="1" applyBorder="1" applyAlignment="1">
      <alignment horizontal="center" vertical="center"/>
    </xf>
    <xf numFmtId="0" fontId="17" fillId="26" borderId="10" xfId="0" applyFont="1" applyFill="1" applyBorder="1" applyAlignment="1">
      <alignment horizontal="center" vertical="center"/>
    </xf>
    <xf numFmtId="0" fontId="24" fillId="25" borderId="43" xfId="3" applyFont="1" applyFill="1" applyBorder="1" applyAlignment="1">
      <alignment horizontal="center" vertical="center"/>
    </xf>
    <xf numFmtId="0" fontId="34" fillId="0" borderId="0" xfId="0" applyFont="1"/>
  </cellXfs>
  <cellStyles count="25">
    <cellStyle name="20% - Ênfase1" xfId="6" builtinId="30"/>
    <cellStyle name="20% - Ênfase2" xfId="9" builtinId="34"/>
    <cellStyle name="20% - Ênfase4" xfId="14" builtinId="42"/>
    <cellStyle name="20% - Ênfase5" xfId="17" builtinId="46"/>
    <cellStyle name="20% - Ênfase6" xfId="20" builtinId="50"/>
    <cellStyle name="40% - Ênfase1" xfId="7" builtinId="31"/>
    <cellStyle name="40% - Ênfase2" xfId="10" builtinId="35"/>
    <cellStyle name="40% - Ênfase4" xfId="15" builtinId="43"/>
    <cellStyle name="40% - Ênfase6" xfId="21" builtinId="51"/>
    <cellStyle name="60% - Ênfase1" xfId="23" builtinId="32"/>
    <cellStyle name="60% - Ênfase3" xfId="12" builtinId="40"/>
    <cellStyle name="60% - Ênfase5" xfId="18" builtinId="48"/>
    <cellStyle name="60% - Ênfase6" xfId="22" builtinId="52"/>
    <cellStyle name="Bom" xfId="24" builtinId="26"/>
    <cellStyle name="Ênfase1" xfId="5" builtinId="29"/>
    <cellStyle name="Ênfase2" xfId="8" builtinId="33"/>
    <cellStyle name="Ênfase3" xfId="11" builtinId="37"/>
    <cellStyle name="Ênfase4" xfId="13" builtinId="41"/>
    <cellStyle name="Ênfase5" xfId="16" builtinId="45"/>
    <cellStyle name="Ênfase6" xfId="19" builtinId="49"/>
    <cellStyle name="Entrada" xfId="3" builtinId="20"/>
    <cellStyle name="Neutro" xfId="2" builtinId="28"/>
    <cellStyle name="Normal" xfId="0" builtinId="0"/>
    <cellStyle name="Nota" xfId="4" builtinId="10"/>
    <cellStyle name="Ruim" xfId="1" builtinId="27"/>
  </cellStyles>
  <dxfs count="31">
    <dxf>
      <font>
        <strike val="0"/>
        <outline val="0"/>
        <shadow val="0"/>
        <u val="none"/>
        <vertAlign val="baseline"/>
        <name val="Calibri"/>
        <family val="2"/>
        <scheme val="minor"/>
      </font>
      <fill>
        <patternFill patternType="solid">
          <fgColor indexed="64"/>
          <bgColor theme="5" tint="0.59999389629810485"/>
        </patternFill>
      </fill>
      <alignment horizontal="center" vertical="bottom" textRotation="0" wrapText="0" indent="0" justifyLastLine="0" shrinkToFit="0" readingOrder="0"/>
    </dxf>
    <dxf>
      <fill>
        <patternFill patternType="solid">
          <fgColor indexed="64"/>
          <bgColor theme="5" tint="0.59999389629810485"/>
        </patternFill>
      </fill>
      <alignment horizontal="center" vertical="bottom" textRotation="0" wrapText="0" indent="0" justifyLastLine="0" shrinkToFit="0" readingOrder="0"/>
    </dxf>
    <dxf>
      <font>
        <strike val="0"/>
        <outline val="0"/>
        <shadow val="0"/>
        <u val="none"/>
        <vertAlign val="baseline"/>
        <name val="Calibri"/>
        <family val="2"/>
        <scheme val="minor"/>
      </font>
      <fill>
        <patternFill patternType="solid">
          <fgColor indexed="64"/>
          <bgColor theme="5" tint="0.59999389629810485"/>
        </patternFill>
      </fill>
      <alignment horizontal="center" vertical="bottom" textRotation="0" wrapText="0" indent="0" justifyLastLine="0" shrinkToFit="0" readingOrder="0"/>
    </dxf>
    <dxf>
      <font>
        <strike val="0"/>
        <outline val="0"/>
        <shadow val="0"/>
        <u val="none"/>
        <vertAlign val="baseline"/>
        <name val="Calibri"/>
        <family val="2"/>
        <scheme val="minor"/>
      </font>
      <fill>
        <patternFill patternType="solid">
          <fgColor indexed="64"/>
          <bgColor theme="5" tint="0.59999389629810485"/>
        </patternFill>
      </fill>
      <alignment horizontal="center" vertical="bottom" textRotation="0" wrapText="0" indent="0" justifyLastLine="0" shrinkToFit="0" readingOrder="0"/>
    </dxf>
    <dxf>
      <font>
        <strike val="0"/>
        <outline val="0"/>
        <shadow val="0"/>
        <u val="none"/>
        <vertAlign val="baseline"/>
        <name val="Calibri"/>
        <family val="2"/>
        <scheme val="minor"/>
      </font>
      <alignment horizontal="center" vertical="center" textRotation="0" wrapText="1" indent="0" justifyLastLine="0" shrinkToFit="0" readingOrder="0"/>
    </dxf>
    <dxf>
      <alignment horizontal="center" vertical="center" textRotation="0" wrapText="0" indent="0" justifyLastLine="0" shrinkToFit="0" readingOrder="0"/>
    </dxf>
    <dxf>
      <font>
        <strike val="0"/>
        <outline val="0"/>
        <shadow val="0"/>
        <u val="none"/>
        <vertAlign val="baseline"/>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name val="Calibri"/>
        <family val="2"/>
        <scheme val="minor"/>
      </font>
      <alignment horizontal="center" vertical="center" textRotation="0" wrapText="1" indent="0" justifyLastLine="0" shrinkToFit="0" readingOrder="0"/>
    </dxf>
    <dxf>
      <font>
        <strike val="0"/>
        <outline val="0"/>
        <shadow val="0"/>
        <u val="none"/>
        <vertAlign val="baseline"/>
        <name val="Calibri"/>
        <family val="2"/>
        <scheme val="minor"/>
      </font>
      <alignment horizontal="left" vertical="center" textRotation="0" wrapText="1" indent="0" justifyLastLine="0" shrinkToFit="0" readingOrder="0"/>
    </dxf>
    <dxf>
      <font>
        <strike val="0"/>
        <outline val="0"/>
        <shadow val="0"/>
        <u val="none"/>
        <vertAlign val="baseline"/>
        <name val="Calibri"/>
        <family val="2"/>
        <scheme val="minor"/>
      </font>
      <alignment horizontal="center" vertical="center" textRotation="0" wrapText="0" indent="0" justifyLastLine="0" shrinkToFit="0" readingOrder="0"/>
    </dxf>
    <dxf>
      <font>
        <strike val="0"/>
        <outline val="0"/>
        <shadow val="0"/>
        <u val="none"/>
        <vertAlign val="baseline"/>
        <name val="Calibri"/>
        <family val="2"/>
        <scheme val="minor"/>
      </font>
      <alignment horizontal="center" vertical="center" textRotation="0" wrapText="0" indent="0" justifyLastLine="0" shrinkToFit="0" readingOrder="0"/>
    </dxf>
    <dxf>
      <font>
        <strike val="0"/>
        <outline val="0"/>
        <shadow val="0"/>
        <u val="none"/>
        <vertAlign val="baseline"/>
        <name val="Calibri"/>
        <family val="2"/>
        <scheme val="minor"/>
      </font>
      <alignment horizontal="center" vertical="center" textRotation="0" wrapText="0" indent="0" justifyLastLine="0" shrinkToFit="0" readingOrder="0"/>
    </dxf>
    <dxf>
      <font>
        <strike val="0"/>
        <outline val="0"/>
        <shadow val="0"/>
        <u val="none"/>
        <vertAlign val="baseline"/>
        <name val="Calibri"/>
        <family val="2"/>
        <scheme val="minor"/>
      </font>
      <alignment horizontal="center" vertical="center" textRotation="0" wrapText="0" indent="0" justifyLastLine="0" shrinkToFit="0" readingOrder="0"/>
    </dxf>
    <dxf>
      <font>
        <strike val="0"/>
        <outline val="0"/>
        <shadow val="0"/>
        <u val="none"/>
        <vertAlign val="baseline"/>
        <name val="Calibri"/>
        <family val="2"/>
        <scheme val="minor"/>
      </font>
      <alignment horizontal="left" vertical="bottom" textRotation="0" wrapText="0" indent="0" justifyLastLine="0" shrinkToFit="0" readingOrder="0"/>
    </dxf>
    <dxf>
      <font>
        <strike val="0"/>
        <outline val="0"/>
        <shadow val="0"/>
        <u val="none"/>
        <vertAlign val="baseline"/>
        <name val="Calibri"/>
        <family val="2"/>
        <scheme val="minor"/>
      </font>
      <alignment horizontal="center" vertical="center" textRotation="0" wrapText="0" indent="0" justifyLastLine="0" shrinkToFit="0" readingOrder="0"/>
    </dxf>
    <dxf>
      <font>
        <strike val="0"/>
        <outline val="0"/>
        <shadow val="0"/>
        <u val="none"/>
        <vertAlign val="baseline"/>
        <name val="Calibri"/>
        <family val="2"/>
        <scheme val="minor"/>
      </font>
      <alignment horizontal="center" vertical="center" textRotation="0" wrapText="0" indent="0" justifyLastLine="0" shrinkToFit="0" readingOrder="0"/>
    </dxf>
    <dxf>
      <font>
        <strike val="0"/>
        <outline val="0"/>
        <shadow val="0"/>
        <u val="none"/>
        <vertAlign val="baseline"/>
        <name val="Calibri"/>
        <family val="2"/>
        <scheme val="minor"/>
      </font>
    </dxf>
    <dxf>
      <font>
        <strike val="0"/>
        <outline val="0"/>
        <shadow val="0"/>
        <u val="none"/>
        <vertAlign val="baseline"/>
        <name val="Calibri"/>
        <family val="2"/>
        <scheme val="minor"/>
      </font>
    </dxf>
    <dxf>
      <alignment horizontal="center" vertical="center" textRotation="0" wrapText="0" indent="0" justifyLastLine="0" shrinkToFit="0" readingOrder="0"/>
    </dxf>
    <dxf>
      <font>
        <strike val="0"/>
        <outline val="0"/>
        <shadow val="0"/>
        <u val="none"/>
        <vertAlign val="baseline"/>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name val="Calibri"/>
        <family val="2"/>
        <scheme val="minor"/>
      </font>
      <alignment horizontal="center" vertical="center" textRotation="0" wrapText="0" indent="0" justifyLastLine="0" shrinkToFit="0" readingOrder="0"/>
    </dxf>
    <dxf>
      <alignment horizontal="left" vertical="center" textRotation="0" wrapText="1" indent="0" justifyLastLine="0" shrinkToFit="0" readingOrder="0"/>
    </dxf>
    <dxf>
      <font>
        <strike val="0"/>
        <outline val="0"/>
        <shadow val="0"/>
        <u val="none"/>
        <vertAlign val="baseline"/>
        <name val="Calibri"/>
        <family val="2"/>
        <scheme val="minor"/>
      </font>
      <alignment horizontal="left" vertical="center" textRotation="0" wrapText="1" indent="0" justifyLastLine="0" shrinkToFit="0" readingOrder="0"/>
    </dxf>
    <dxf>
      <alignment horizontal="center" vertical="center" textRotation="0" wrapText="0" indent="0" justifyLastLine="0" shrinkToFit="0" readingOrder="0"/>
    </dxf>
    <dxf>
      <font>
        <strike val="0"/>
        <outline val="0"/>
        <shadow val="0"/>
        <u val="none"/>
        <vertAlign val="baseline"/>
        <name val="Calibri"/>
        <family val="2"/>
        <scheme val="minor"/>
      </font>
      <alignment horizontal="center" vertical="center" textRotation="0" wrapText="1" indent="0" justifyLastLine="0" shrinkToFit="0" readingOrder="0"/>
    </dxf>
    <dxf>
      <font>
        <strike val="0"/>
        <outline val="0"/>
        <shadow val="0"/>
        <u val="none"/>
        <vertAlign val="baseline"/>
        <name val="Calibri"/>
        <family val="2"/>
        <scheme val="minor"/>
      </font>
    </dxf>
    <dxf>
      <font>
        <strike val="0"/>
        <outline val="0"/>
        <shadow val="0"/>
        <u val="none"/>
        <vertAlign val="baseline"/>
        <name val="Calibri"/>
        <family val="2"/>
        <scheme val="minor"/>
      </font>
      <alignment horizontal="general" vertical="center" textRotation="0" indent="0" justifyLastLine="0" shrinkToFit="0" readingOrder="0"/>
    </dxf>
    <dxf>
      <font>
        <b val="0"/>
        <i val="0"/>
        <strike val="0"/>
        <condense val="0"/>
        <extend val="0"/>
        <outline val="0"/>
        <shadow val="0"/>
        <u val="none"/>
        <vertAlign val="baseline"/>
        <sz val="12"/>
        <color theme="0"/>
        <name val="Calibri"/>
        <family val="2"/>
        <scheme val="minor"/>
      </font>
      <fill>
        <patternFill patternType="solid">
          <fgColor indexed="64"/>
          <bgColor theme="1" tint="0.14999847407452621"/>
        </patternFill>
      </fill>
      <alignment horizontal="center" vertical="center" textRotation="0" wrapText="0" indent="0" justifyLastLine="0" shrinkToFit="0" readingOrder="0"/>
    </dxf>
    <dxf>
      <fill>
        <patternFill>
          <bgColor theme="5" tint="0.39994506668294322"/>
        </patternFill>
      </fill>
    </dxf>
  </dxfs>
  <tableStyles count="1" defaultTableStyle="TableStyleMedium2" defaultPivotStyle="PivotStyleLight16">
    <tableStyle name="Langugage" pivot="0" count="1" xr9:uid="{00000000-0011-0000-FFFF-FFFF00000000}">
      <tableStyleElement type="wholeTable" dxfId="30"/>
    </tableStyle>
  </tableStyles>
  <colors>
    <mruColors>
      <color rgb="FFFED562"/>
      <color rgb="FF082F86"/>
      <color rgb="FF55C9FD"/>
      <color rgb="FF744006"/>
      <color rgb="FF094718"/>
      <color rgb="FF0E6810"/>
      <color rgb="FF23E509"/>
      <color rgb="FF5BF362"/>
      <color rgb="FF11ED1B"/>
      <color rgb="FF32E4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419100</xdr:colOff>
          <xdr:row>4</xdr:row>
          <xdr:rowOff>19050</xdr:rowOff>
        </xdr:from>
        <xdr:to>
          <xdr:col>0</xdr:col>
          <xdr:colOff>590550</xdr:colOff>
          <xdr:row>4</xdr:row>
          <xdr:rowOff>190500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5</xdr:row>
          <xdr:rowOff>9525</xdr:rowOff>
        </xdr:from>
        <xdr:to>
          <xdr:col>0</xdr:col>
          <xdr:colOff>590550</xdr:colOff>
          <xdr:row>5</xdr:row>
          <xdr:rowOff>180975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6</xdr:row>
          <xdr:rowOff>9525</xdr:rowOff>
        </xdr:from>
        <xdr:to>
          <xdr:col>0</xdr:col>
          <xdr:colOff>590550</xdr:colOff>
          <xdr:row>6</xdr:row>
          <xdr:rowOff>180975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8</xdr:row>
          <xdr:rowOff>19050</xdr:rowOff>
        </xdr:from>
        <xdr:to>
          <xdr:col>0</xdr:col>
          <xdr:colOff>590550</xdr:colOff>
          <xdr:row>8</xdr:row>
          <xdr:rowOff>190500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9</xdr:row>
          <xdr:rowOff>9525</xdr:rowOff>
        </xdr:from>
        <xdr:to>
          <xdr:col>0</xdr:col>
          <xdr:colOff>590550</xdr:colOff>
          <xdr:row>9</xdr:row>
          <xdr:rowOff>180975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10</xdr:row>
          <xdr:rowOff>9525</xdr:rowOff>
        </xdr:from>
        <xdr:to>
          <xdr:col>0</xdr:col>
          <xdr:colOff>590550</xdr:colOff>
          <xdr:row>10</xdr:row>
          <xdr:rowOff>180975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11</xdr:row>
          <xdr:rowOff>9525</xdr:rowOff>
        </xdr:from>
        <xdr:to>
          <xdr:col>0</xdr:col>
          <xdr:colOff>590550</xdr:colOff>
          <xdr:row>11</xdr:row>
          <xdr:rowOff>180975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13</xdr:row>
          <xdr:rowOff>9525</xdr:rowOff>
        </xdr:from>
        <xdr:to>
          <xdr:col>0</xdr:col>
          <xdr:colOff>590550</xdr:colOff>
          <xdr:row>13</xdr:row>
          <xdr:rowOff>180975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14</xdr:row>
          <xdr:rowOff>9525</xdr:rowOff>
        </xdr:from>
        <xdr:to>
          <xdr:col>0</xdr:col>
          <xdr:colOff>590550</xdr:colOff>
          <xdr:row>14</xdr:row>
          <xdr:rowOff>180975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15</xdr:row>
          <xdr:rowOff>9525</xdr:rowOff>
        </xdr:from>
        <xdr:to>
          <xdr:col>0</xdr:col>
          <xdr:colOff>590550</xdr:colOff>
          <xdr:row>15</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17</xdr:row>
          <xdr:rowOff>9525</xdr:rowOff>
        </xdr:from>
        <xdr:to>
          <xdr:col>0</xdr:col>
          <xdr:colOff>590550</xdr:colOff>
          <xdr:row>17</xdr:row>
          <xdr:rowOff>180975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18</xdr:row>
          <xdr:rowOff>9525</xdr:rowOff>
        </xdr:from>
        <xdr:to>
          <xdr:col>0</xdr:col>
          <xdr:colOff>590550</xdr:colOff>
          <xdr:row>18</xdr:row>
          <xdr:rowOff>180975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19</xdr:row>
          <xdr:rowOff>9525</xdr:rowOff>
        </xdr:from>
        <xdr:to>
          <xdr:col>0</xdr:col>
          <xdr:colOff>590550</xdr:colOff>
          <xdr:row>19</xdr:row>
          <xdr:rowOff>180975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20</xdr:row>
          <xdr:rowOff>9525</xdr:rowOff>
        </xdr:from>
        <xdr:to>
          <xdr:col>0</xdr:col>
          <xdr:colOff>590550</xdr:colOff>
          <xdr:row>20</xdr:row>
          <xdr:rowOff>180975</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21</xdr:row>
          <xdr:rowOff>9525</xdr:rowOff>
        </xdr:from>
        <xdr:to>
          <xdr:col>0</xdr:col>
          <xdr:colOff>590550</xdr:colOff>
          <xdr:row>21</xdr:row>
          <xdr:rowOff>180975</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22</xdr:row>
          <xdr:rowOff>9525</xdr:rowOff>
        </xdr:from>
        <xdr:to>
          <xdr:col>0</xdr:col>
          <xdr:colOff>590550</xdr:colOff>
          <xdr:row>22</xdr:row>
          <xdr:rowOff>180975</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23</xdr:row>
          <xdr:rowOff>9525</xdr:rowOff>
        </xdr:from>
        <xdr:to>
          <xdr:col>0</xdr:col>
          <xdr:colOff>590550</xdr:colOff>
          <xdr:row>23</xdr:row>
          <xdr:rowOff>180975</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24</xdr:row>
          <xdr:rowOff>9525</xdr:rowOff>
        </xdr:from>
        <xdr:to>
          <xdr:col>0</xdr:col>
          <xdr:colOff>590550</xdr:colOff>
          <xdr:row>24</xdr:row>
          <xdr:rowOff>180975</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333375</xdr:colOff>
          <xdr:row>1</xdr:row>
          <xdr:rowOff>38100</xdr:rowOff>
        </xdr:from>
        <xdr:to>
          <xdr:col>9</xdr:col>
          <xdr:colOff>695325</xdr:colOff>
          <xdr:row>2</xdr:row>
          <xdr:rowOff>152400</xdr:rowOff>
        </xdr:to>
        <xdr:sp macro="" textlink="">
          <xdr:nvSpPr>
            <xdr:cNvPr id="1051" name="XPPlus"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30</xdr:row>
          <xdr:rowOff>95250</xdr:rowOff>
        </xdr:from>
        <xdr:to>
          <xdr:col>14</xdr:col>
          <xdr:colOff>47625</xdr:colOff>
          <xdr:row>31</xdr:row>
          <xdr:rowOff>285750</xdr:rowOff>
        </xdr:to>
        <xdr:sp macro="" textlink="">
          <xdr:nvSpPr>
            <xdr:cNvPr id="1052" name="CommandButton1"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5" displayName="Table5" ref="H32:K36" headerRowDxfId="29" dataDxfId="28" totalsRowDxfId="27">
  <autoFilter ref="H32:K36" xr:uid="{00000000-0009-0000-0100-000005000000}"/>
  <sortState ref="H33:K36">
    <sortCondition descending="1" ref="K32:K36"/>
  </sortState>
  <tableColumns count="4">
    <tableColumn id="1" xr3:uid="{00000000-0010-0000-0000-000001000000}" name="Skill / Perk / Feat" totalsRowLabel="Total" dataDxfId="26" totalsRowDxfId="25"/>
    <tableColumn id="2" xr3:uid="{00000000-0010-0000-0000-000002000000}" name="Description" dataDxfId="24" totalsRowDxfId="23"/>
    <tableColumn id="3" xr3:uid="{00000000-0010-0000-0000-000003000000}" name="Attribute" dataDxfId="22" totalsRowDxfId="21"/>
    <tableColumn id="4" xr3:uid="{00000000-0010-0000-0000-000004000000}" name="Cost" totalsRowFunction="count" dataDxfId="20" totalsRowDxfId="19"/>
  </tableColumns>
  <tableStyleInfo name="TableStyleDark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P5:R7" headerRowCount="0" totalsRowShown="0" headerRowDxfId="18" dataDxfId="17">
  <tableColumns count="3">
    <tableColumn id="1" xr3:uid="{00000000-0010-0000-0100-000001000000}" name="Column1" dataDxfId="16"/>
    <tableColumn id="2" xr3:uid="{00000000-0010-0000-0100-000002000000}" name="Column2" dataDxfId="15"/>
    <tableColumn id="3" xr3:uid="{00000000-0010-0000-0100-000003000000}" name="Column3" dataDxfId="14"/>
  </tableColumns>
  <tableStyleInfo name="TableStyleLight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73" displayName="Table73" ref="P33:U35" headerRowCount="0" totalsRowShown="0" headerRowDxfId="13" dataDxfId="12">
  <tableColumns count="6">
    <tableColumn id="1" xr3:uid="{00000000-0010-0000-0200-000001000000}" name="Column1" dataDxfId="11"/>
    <tableColumn id="2" xr3:uid="{00000000-0010-0000-0200-000002000000}" name="Column2" dataDxfId="10"/>
    <tableColumn id="3" xr3:uid="{00000000-0010-0000-0200-000003000000}" name="Column3" dataDxfId="9"/>
    <tableColumn id="4" xr3:uid="{00000000-0010-0000-0200-000004000000}" name="Column4" dataDxfId="8"/>
    <tableColumn id="5" xr3:uid="{00000000-0010-0000-0200-000005000000}" name="Column5" headerRowDxfId="7" dataDxfId="6"/>
    <tableColumn id="6" xr3:uid="{00000000-0010-0000-0200-000006000000}" name="Column6" headerRowDxfId="5" dataDxfId="4"/>
  </tableColumns>
  <tableStyleInfo name="TableStyleDark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T10" headerRowCount="0" totalsRowShown="0" headerRowDxfId="3" dataDxfId="2">
  <tableColumns count="1">
    <tableColumn id="1" xr3:uid="{00000000-0010-0000-0300-000001000000}" name="Column1" headerRowDxfId="1" dataDxfId="0">
      <calculatedColumnFormula>IF(L24=0, "Common", "Comum")</calculatedColumnFormula>
    </tableColumn>
  </tableColumns>
  <tableStyleInfo name="Langugag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2.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table" Target="../tables/table4.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1.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table" Target="../tables/table3.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65"/>
  <sheetViews>
    <sheetView showGridLines="0" tabSelected="1" topLeftCell="J1" zoomScale="85" zoomScaleNormal="85" workbookViewId="0">
      <selection activeCell="K1" sqref="K1"/>
    </sheetView>
  </sheetViews>
  <sheetFormatPr defaultRowHeight="15" x14ac:dyDescent="0.25"/>
  <cols>
    <col min="2" max="2" width="11.5703125" customWidth="1"/>
    <col min="3" max="3" width="5.7109375" customWidth="1"/>
    <col min="4" max="4" width="6.140625" customWidth="1"/>
    <col min="5" max="5" width="6.85546875" bestFit="1" customWidth="1"/>
    <col min="6" max="6" width="10.85546875" customWidth="1"/>
    <col min="7" max="7" width="2.85546875" customWidth="1"/>
    <col min="8" max="8" width="18.85546875" customWidth="1"/>
    <col min="9" max="9" width="84.28515625" customWidth="1"/>
    <col min="10" max="10" width="11.28515625" customWidth="1"/>
    <col min="11" max="11" width="10.85546875" customWidth="1"/>
    <col min="12" max="12" width="8" customWidth="1"/>
    <col min="13" max="13" width="1.85546875" customWidth="1"/>
    <col min="14" max="14" width="6" bestFit="1" customWidth="1"/>
    <col min="15" max="15" width="2.5703125" customWidth="1"/>
    <col min="16" max="16" width="11.42578125" bestFit="1" customWidth="1"/>
    <col min="17" max="17" width="15.7109375" customWidth="1"/>
    <col min="18" max="18" width="47.28515625" customWidth="1"/>
    <col min="19" max="19" width="12.140625" customWidth="1"/>
    <col min="20" max="20" width="11.85546875" bestFit="1" customWidth="1"/>
    <col min="21" max="21" width="15.140625" customWidth="1"/>
    <col min="22" max="22" width="9.140625" customWidth="1"/>
  </cols>
  <sheetData>
    <row r="1" spans="1:22" ht="15.75" thickBot="1" x14ac:dyDescent="0.3">
      <c r="T1" s="15"/>
      <c r="U1" s="15"/>
      <c r="V1" s="15"/>
    </row>
    <row r="2" spans="1:22" ht="15" customHeight="1" thickTop="1" thickBot="1" x14ac:dyDescent="0.3">
      <c r="A2" s="16"/>
      <c r="B2" s="152" t="str">
        <f>IF(L24 = 0,"Attributes","Atributos")</f>
        <v>Attributes</v>
      </c>
      <c r="C2" s="153"/>
      <c r="D2" s="153"/>
      <c r="E2" s="153"/>
      <c r="F2" s="154"/>
      <c r="H2" s="17" t="str">
        <f>IF(L24 = 0, "Name:", "Nome:")</f>
        <v>Name:</v>
      </c>
      <c r="I2" s="8" t="s">
        <v>12</v>
      </c>
      <c r="K2" s="83" t="s">
        <v>2</v>
      </c>
      <c r="L2" s="79">
        <v>1</v>
      </c>
      <c r="M2" s="79"/>
      <c r="N2" s="80"/>
      <c r="P2" s="87" t="str">
        <f>IF(L24=0,"Inventory", "Inventário")</f>
        <v>Inventory</v>
      </c>
      <c r="Q2" s="87"/>
      <c r="R2" s="87"/>
      <c r="T2" s="119" t="str">
        <f>IF(L24=0, "Movement", "Movimento")</f>
        <v>Movement</v>
      </c>
      <c r="U2" s="120"/>
      <c r="V2" s="121"/>
    </row>
    <row r="3" spans="1:22" ht="15.75" customHeight="1" thickBot="1" x14ac:dyDescent="0.3">
      <c r="A3" s="16"/>
      <c r="B3" s="18" t="str">
        <f>IF(L24 = 0,"Name","Nome")</f>
        <v>Name</v>
      </c>
      <c r="C3" s="19" t="str">
        <f>IF(L24 = 0,"Cost","Custo")</f>
        <v>Cost</v>
      </c>
      <c r="D3" s="19" t="str">
        <f>IF(L24 = 0,"Score","Valor")</f>
        <v>Score</v>
      </c>
      <c r="E3" s="19" t="str">
        <f>IF(L24=0, "Bonus", "Bonus")</f>
        <v>Bonus</v>
      </c>
      <c r="F3" s="20" t="str">
        <f>IF(L24 = 0,"Dice","Dado")</f>
        <v>Dice</v>
      </c>
      <c r="K3" s="84"/>
      <c r="L3" s="81"/>
      <c r="M3" s="81"/>
      <c r="N3" s="82"/>
      <c r="O3" s="21"/>
      <c r="P3" s="87"/>
      <c r="Q3" s="87"/>
      <c r="R3" s="87"/>
      <c r="T3" s="22" t="str">
        <f>IF(L24=0, "Normal", "Normal")</f>
        <v>Normal</v>
      </c>
      <c r="U3" s="10">
        <f>IF(L29 &gt; 7, 7, IF(L29 &lt; 4, 5, 6))</f>
        <v>6</v>
      </c>
      <c r="V3" s="12" t="str">
        <f>($U3 *1.5) &amp; "m"</f>
        <v>9m</v>
      </c>
    </row>
    <row r="4" spans="1:22" ht="15" customHeight="1" thickBot="1" x14ac:dyDescent="0.3">
      <c r="A4" s="16"/>
      <c r="B4" s="132" t="str">
        <f>IF(L24 = 0,"Physical","Físicos")</f>
        <v>Physical</v>
      </c>
      <c r="C4" s="133"/>
      <c r="D4" s="133"/>
      <c r="E4" s="133"/>
      <c r="F4" s="134"/>
      <c r="K4" s="83" t="s">
        <v>1</v>
      </c>
      <c r="L4" s="79">
        <v>2</v>
      </c>
      <c r="M4" s="79"/>
      <c r="N4" s="80"/>
      <c r="P4" s="23" t="s">
        <v>4</v>
      </c>
      <c r="Q4" s="23" t="str">
        <f>IF(L24 = 0, "Item", "Item")</f>
        <v>Item</v>
      </c>
      <c r="R4" s="23" t="str">
        <f>IF(L24 = 0, "Description", "Descrição")</f>
        <v>Description</v>
      </c>
      <c r="T4" s="24" t="str">
        <f>IF(L24=0, "Difficult", "Difícil")</f>
        <v>Difficult</v>
      </c>
      <c r="U4" s="11">
        <f>IF(L29 &gt; 7, 3, IF(L29 &lt; 4, 5, 4))</f>
        <v>4</v>
      </c>
      <c r="V4" s="9" t="str">
        <f>($U4 *1.5) &amp; "m"</f>
        <v>6m</v>
      </c>
    </row>
    <row r="5" spans="1:22" ht="15.75" customHeight="1" thickBot="1" x14ac:dyDescent="0.3">
      <c r="A5" s="16"/>
      <c r="B5" s="25" t="str">
        <f>IF(L24 = 0,"Agility","Agilidade")</f>
        <v>Agility</v>
      </c>
      <c r="C5" s="26">
        <f>IFERROR(_xlfn.NUMBERVALUE(D5), 0) * (IFERROR(_xlfn.NUMBERVALUE(D5), 0) + 1) / 2</f>
        <v>15</v>
      </c>
      <c r="D5" s="26">
        <v>5</v>
      </c>
      <c r="E5" s="26"/>
      <c r="F5" s="27" t="str">
        <f t="shared" ref="F5:F7" si="0">IF(D5 + E5 &lt; 1,"1d2",IF(D5 + E5 = 1, "1d4", IF(D5 + E5 = 2, "1d6", IF(D5 + E5 = 3, "1d8", IF(D5 + E5 = 4, "1d10", IF(D5 + E5 = 5, "2d6", IF(D5 + E5 = 6, "2d8", IF(D5 + E5 = 7, "2d10", IF(D5 + E5 = 8, "3d8", IF(D5 + E5 = 9, "3d10", IF(D5 + E5 = 10, "4d8", IF(D5 + E5 = 11, "6d6",IF(D5 + E5 = 12, "7d6",IF(D5 + E5 = 13, "6d8",IF(D5 + E5 = 14, "12d4",IF(D5 + E5 = 15, "6d10",IF(D5 + E5 = 16, "8d8",IF(D5 + E5 = 17, "7d10", ""))))))))))))))))))</f>
        <v>2d6</v>
      </c>
      <c r="K5" s="84"/>
      <c r="L5" s="81"/>
      <c r="M5" s="81"/>
      <c r="N5" s="82"/>
      <c r="P5" s="28">
        <v>47</v>
      </c>
      <c r="Q5" s="28" t="s">
        <v>37</v>
      </c>
      <c r="R5" s="29" t="s">
        <v>38</v>
      </c>
    </row>
    <row r="6" spans="1:22" ht="15" customHeight="1" thickBot="1" x14ac:dyDescent="0.3">
      <c r="A6" s="16"/>
      <c r="B6" s="30" t="str">
        <f>IF(L24 = 0,"Fortitude","Fortitude")</f>
        <v>Fortitude</v>
      </c>
      <c r="C6" s="31">
        <f t="shared" ref="C6:C7" si="1">IFERROR(_xlfn.NUMBERVALUE(D6), 0) * (IFERROR(_xlfn.NUMBERVALUE(D6), 0) + 1) / 2</f>
        <v>6</v>
      </c>
      <c r="D6" s="31">
        <v>3</v>
      </c>
      <c r="E6" s="31"/>
      <c r="F6" s="32" t="str">
        <f t="shared" si="0"/>
        <v>1d8</v>
      </c>
      <c r="L6" s="33"/>
      <c r="M6" s="33"/>
      <c r="N6" s="33"/>
      <c r="P6" s="28">
        <v>3</v>
      </c>
      <c r="Q6" s="28" t="s">
        <v>39</v>
      </c>
      <c r="R6" s="29" t="s">
        <v>40</v>
      </c>
      <c r="T6" s="111" t="s">
        <v>8</v>
      </c>
      <c r="U6" s="71">
        <f>8 + L14 + N14</f>
        <v>16</v>
      </c>
    </row>
    <row r="7" spans="1:22" ht="15" customHeight="1" thickBot="1" x14ac:dyDescent="0.3">
      <c r="A7" s="16"/>
      <c r="B7" s="34" t="str">
        <f>IF(L24 = 0,"Might","Força")</f>
        <v>Might</v>
      </c>
      <c r="C7" s="26">
        <f t="shared" si="1"/>
        <v>15</v>
      </c>
      <c r="D7" s="35">
        <v>5</v>
      </c>
      <c r="E7" s="35"/>
      <c r="F7" s="36" t="str">
        <f t="shared" si="0"/>
        <v>2d6</v>
      </c>
      <c r="K7" s="85" t="s">
        <v>3</v>
      </c>
      <c r="L7" s="88">
        <v>26</v>
      </c>
      <c r="M7" s="90" t="s">
        <v>0</v>
      </c>
      <c r="N7" s="92">
        <f>IF(8+2*(D6+E6)+2*(D16+E16)+D12+E12+_xlfn.FLOOR.MATH(1.5*(D7+E7))+2*L4&gt;0,8+2*(D6+E6)+2*(D16+E16)+D12+E12+_xlfn.FLOOR.MATH(1.5*(D7+E7))+2*L4,1)</f>
        <v>26</v>
      </c>
      <c r="P7" s="28"/>
      <c r="Q7" s="28"/>
      <c r="R7" s="29"/>
      <c r="T7" s="112"/>
      <c r="U7" s="72"/>
    </row>
    <row r="8" spans="1:22" ht="15" customHeight="1" thickBot="1" x14ac:dyDescent="0.3">
      <c r="A8" s="16"/>
      <c r="B8" s="129" t="str">
        <f>IF(L24 = 0,"Mental","Mentais")</f>
        <v>Mental</v>
      </c>
      <c r="C8" s="130"/>
      <c r="D8" s="130"/>
      <c r="E8" s="130"/>
      <c r="F8" s="131"/>
      <c r="K8" s="86"/>
      <c r="L8" s="89"/>
      <c r="M8" s="91"/>
      <c r="N8" s="93"/>
      <c r="P8" s="28"/>
      <c r="Q8" s="28"/>
      <c r="R8" s="29"/>
    </row>
    <row r="9" spans="1:22" ht="15.75" customHeight="1" x14ac:dyDescent="0.25">
      <c r="A9" s="16"/>
      <c r="B9" s="37" t="str">
        <f>IF(L24 = 0,"Learning","Aprendizado")</f>
        <v>Learning</v>
      </c>
      <c r="C9" s="38">
        <f t="shared" ref="C9:C12" si="2">IFERROR(_xlfn.NUMBERVALUE(D9), 0) * (IFERROR(_xlfn.NUMBERVALUE(D9), 0) + 1) / 2</f>
        <v>1</v>
      </c>
      <c r="D9" s="38">
        <v>1</v>
      </c>
      <c r="E9" s="38"/>
      <c r="F9" s="39" t="str">
        <f t="shared" ref="F9:F12" si="3">IF(D9 + E9 &lt; 1,"1d2",IF(D9 + E9 = 1, "1d4", IF(D9 + E9 = 2, "1d6", IF(D9 + E9 = 3, "1d8", IF(D9 + E9 = 4, "1d10", IF(D9 + E9 = 5, "2d6", IF(D9 + E9 = 6, "2d8", IF(D9 + E9 = 7, "2d10", IF(D9 + E9 = 8, "3d8", IF(D9 + E9 = 9, "3d10", IF(D9 + E9 = 10, "4d8", IF(D9 + E9 = 11, "6d6",IF(D9 + E9 = 12, "7d6",IF(D9 + E9 = 13, "6d8",IF(D9 + E9 = 14, "12d4",IF(D9 + E9 = 15, "6d10",IF(D9 + E9 = 16, "8d8",IF(D9 + E9 = 17, "7d10", ""))))))))))))))))))</f>
        <v>1d4</v>
      </c>
      <c r="K9" s="105" t="s">
        <v>9</v>
      </c>
      <c r="L9" s="165">
        <v>18</v>
      </c>
      <c r="M9" s="94" t="s">
        <v>0</v>
      </c>
      <c r="N9" s="96">
        <f>_xlfn.CEILING.MATH(8 + 3*(D9 + E9) + 1.5*(D12 + E12) + 2*(D10 + E10) + 1.5*MAX(D18+E18, D19+E19, D20+E20, D21+E21, D22+E22, D23+E23, D24+E24, D25+E25) + 2*L4)</f>
        <v>18</v>
      </c>
      <c r="P9" s="28"/>
      <c r="Q9" s="28"/>
      <c r="R9" s="29"/>
      <c r="T9" s="13" t="str">
        <f>IF($L$24=0, "Languages", "Línguas")</f>
        <v>Languages</v>
      </c>
    </row>
    <row r="10" spans="1:22" ht="15" customHeight="1" thickBot="1" x14ac:dyDescent="0.3">
      <c r="A10" s="16"/>
      <c r="B10" s="40" t="str">
        <f>IF(L24 = 0,"Logic","Lógica")</f>
        <v>Logic</v>
      </c>
      <c r="C10" s="41">
        <f t="shared" si="2"/>
        <v>0</v>
      </c>
      <c r="D10" s="41"/>
      <c r="E10" s="41"/>
      <c r="F10" s="42" t="str">
        <f t="shared" si="3"/>
        <v>1d2</v>
      </c>
      <c r="K10" s="106"/>
      <c r="L10" s="166"/>
      <c r="M10" s="95"/>
      <c r="N10" s="97"/>
      <c r="P10" s="28"/>
      <c r="Q10" s="28"/>
      <c r="R10" s="29"/>
      <c r="T10" s="43" t="str">
        <f t="shared" ref="T10" si="4">IF(L24=0, "Common", "Comum")</f>
        <v>Common</v>
      </c>
    </row>
    <row r="11" spans="1:22" ht="15" customHeight="1" thickBot="1" x14ac:dyDescent="0.3">
      <c r="A11" s="16"/>
      <c r="B11" s="37" t="str">
        <f>IF(L24 = 0,"Perception","Percepção")</f>
        <v>Perception</v>
      </c>
      <c r="C11" s="38">
        <f t="shared" si="2"/>
        <v>6</v>
      </c>
      <c r="D11" s="38">
        <v>3</v>
      </c>
      <c r="E11" s="38"/>
      <c r="F11" s="39" t="str">
        <f t="shared" si="3"/>
        <v>1d8</v>
      </c>
      <c r="N11" s="182"/>
      <c r="P11" s="28"/>
      <c r="Q11" s="28"/>
      <c r="R11" s="29"/>
    </row>
    <row r="12" spans="1:22" ht="15" customHeight="1" thickBot="1" x14ac:dyDescent="0.3">
      <c r="A12" s="16"/>
      <c r="B12" s="40" t="str">
        <f>IF(L24 = 0,"Will","Vontade")</f>
        <v>Will</v>
      </c>
      <c r="C12" s="41">
        <f t="shared" si="2"/>
        <v>1</v>
      </c>
      <c r="D12" s="41">
        <v>1</v>
      </c>
      <c r="E12" s="41"/>
      <c r="F12" s="42" t="str">
        <f t="shared" si="3"/>
        <v>1d4</v>
      </c>
      <c r="K12" s="107" t="str">
        <f>IF(L24 = 0, "GUARD", "GUARD")</f>
        <v>GUARD</v>
      </c>
      <c r="L12" s="109">
        <f>IF($E$65 &gt;= 5, $E$64 + 1, $E$64)</f>
        <v>6</v>
      </c>
      <c r="M12" s="109" t="str">
        <f>IF(N12 &gt; 0, "+", "")</f>
        <v/>
      </c>
      <c r="N12" s="163"/>
      <c r="P12" s="28"/>
      <c r="Q12" s="28"/>
      <c r="R12" s="29"/>
    </row>
    <row r="13" spans="1:22" ht="15" customHeight="1" x14ac:dyDescent="0.25">
      <c r="A13" s="16"/>
      <c r="B13" s="126" t="str">
        <f>IF(L24 = 0,"Social","Sociais")</f>
        <v>Social</v>
      </c>
      <c r="C13" s="127"/>
      <c r="D13" s="127"/>
      <c r="E13" s="127"/>
      <c r="F13" s="128"/>
      <c r="K13" s="108"/>
      <c r="L13" s="110"/>
      <c r="M13" s="110"/>
      <c r="N13" s="164"/>
      <c r="P13" s="28"/>
      <c r="Q13" s="28"/>
      <c r="R13" s="29"/>
    </row>
    <row r="14" spans="1:22" ht="15" customHeight="1" x14ac:dyDescent="0.25">
      <c r="A14" s="16"/>
      <c r="B14" s="44" t="str">
        <f>IF(L24 = 0,"Deception","Enganação")</f>
        <v>Deception</v>
      </c>
      <c r="C14" s="45">
        <f t="shared" ref="C14:C16" si="5">IFERROR(_xlfn.NUMBERVALUE(D14), 0) * (IFERROR(_xlfn.NUMBERVALUE(D14), 0) + 1) / 2</f>
        <v>3</v>
      </c>
      <c r="D14" s="45">
        <v>2</v>
      </c>
      <c r="E14" s="45"/>
      <c r="F14" s="46" t="str">
        <f t="shared" ref="F14" si="6">IF(D14 + E14 &lt; 1,"1d2",IF(D14 + E14 = 1, "1d4", IF(D14 + E14 = 2, "1d6", IF(D14 + E14 = 3, "1d8", IF(D14 + E14 = 4, "1d10", IF(D14 + E14 = 5, "2d6", IF(D14 + E14 = 6, "2d8", IF(D14 + E14 = 7, "2d10", IF(D14 + E14 = 8, "3d8", IF(D14 + E14 = 9, "3d10", IF(D14 + E14 = 10, "4d8", IF(D14 + E14 = 11, "6d6",IF(D14 + E14 = 12, "7d6",IF(D14 + E14 = 13, "6d8",IF(D14 + E14 = 14, "12d4",IF(D14 + E14 = 15, "6d10",IF(D14 + E14 = 16, "8d8",IF(D14 + E14 = 17, "7d10", ""))))))))))))))))))</f>
        <v>1d6</v>
      </c>
      <c r="K14" s="177" t="str">
        <f>IF(L24 = 0, "DODGE", "EVASÃO")</f>
        <v>DODGE</v>
      </c>
      <c r="L14" s="169">
        <f>IF($E$64 &gt;= 5, $E$65 + 1, $E$65)</f>
        <v>8</v>
      </c>
      <c r="M14" s="169" t="str">
        <f>IF(N14 &gt; 0, "+", "")</f>
        <v/>
      </c>
      <c r="N14" s="167"/>
      <c r="P14" s="28"/>
      <c r="Q14" s="28"/>
      <c r="R14" s="29"/>
    </row>
    <row r="15" spans="1:22" ht="15" customHeight="1" thickBot="1" x14ac:dyDescent="0.3">
      <c r="A15" s="16"/>
      <c r="B15" s="47" t="str">
        <f>IF(L24 = 0,"Persuation","Persuasão")</f>
        <v>Persuation</v>
      </c>
      <c r="C15" s="48">
        <f t="shared" si="5"/>
        <v>1</v>
      </c>
      <c r="D15" s="48">
        <v>-2</v>
      </c>
      <c r="E15" s="48"/>
      <c r="F15" s="49" t="str">
        <f>IF(D15 + E15 &lt; 1,"1d2",IF(D15 + E15 = 1, "1d4", IF(D15 + E15 = 2, "1d6", IF(D15 + E15 = 3, "1d8", IF(D15 + E15 = 4, "1d10", IF(D15 + E15 = 5, "2d6", IF(D15 + E15 = 6, "2d8", IF(D15 + E15 = 7, "2d10", IF(D15 + E15 = 8, "3d8", IF(D15 + E15 = 9, "3d10", IF(D15 + E15 = 10, "4d8", IF(D15 + E15 = 11, "6d6",IF(D15 + E15 = 12, "7d6",IF(D15 + E15 = 13, "6d8",IF(D15 + E15 = 14, "12d4",IF(D15 + E15 = 15, "6d10",IF(D15 + E15 = 16, "8d8",IF(D15 + E15 = 17, "7d10", ""))))))))))))))))))</f>
        <v>1d2</v>
      </c>
      <c r="K15" s="178"/>
      <c r="L15" s="170"/>
      <c r="M15" s="170"/>
      <c r="N15" s="168"/>
      <c r="P15" s="28"/>
      <c r="Q15" s="28"/>
      <c r="R15" s="29"/>
    </row>
    <row r="16" spans="1:22" ht="15" customHeight="1" thickBot="1" x14ac:dyDescent="0.3">
      <c r="A16" s="16"/>
      <c r="B16" s="50" t="str">
        <f>IF(L24 = 0,"Presence","Presença")</f>
        <v>Presence</v>
      </c>
      <c r="C16" s="14">
        <f t="shared" si="5"/>
        <v>0</v>
      </c>
      <c r="D16" s="14"/>
      <c r="E16" s="14"/>
      <c r="F16" s="51" t="str">
        <f t="shared" ref="F16" si="7">IF(D16 + E16 &lt; 1,"1d2",IF(D16 + E16 = 1, "1d4", IF(D16 + E16 = 2, "1d6", IF(D16 + E16 = 3, "1d8", IF(D16 + E16 = 4, "1d10", IF(D16 + E16 = 5, "2d6", IF(D16 + E16 = 6, "2d8", IF(D16 + E16 = 7, "2d10", IF(D16 + E16 = 8, "3d8", IF(D16 + E16 = 9, "3d10", IF(D16 + E16 = 10, "4d8", IF(D16 + E16 = 11, "6d6",IF(D16 + E16 = 12, "7d6",IF(D16 + E16 = 13, "6d8",IF(D16 + E16 = 14, "12d4",IF(D16 + E16 = 15, "6d10",IF(D16 + E16 = 16, "8d8",IF(D16 + E16 = 17, "7d10", ""))))))))))))))))))</f>
        <v>1d2</v>
      </c>
      <c r="P16" s="28"/>
      <c r="Q16" s="28"/>
      <c r="R16" s="29"/>
    </row>
    <row r="17" spans="1:21" ht="15" customHeight="1" x14ac:dyDescent="0.25">
      <c r="A17" s="16"/>
      <c r="B17" s="123" t="str">
        <f>IF(L24 = 0,"Extraordinary","Extraordinários")</f>
        <v>Extraordinary</v>
      </c>
      <c r="C17" s="124"/>
      <c r="D17" s="124"/>
      <c r="E17" s="124"/>
      <c r="F17" s="125"/>
      <c r="K17" s="98" t="str">
        <f>IF(L24 = 0, "Skill Points", "Pontos de Habilidade")</f>
        <v>Skill Points</v>
      </c>
      <c r="L17" s="99"/>
      <c r="M17" s="99"/>
      <c r="N17" s="77">
        <v>2</v>
      </c>
      <c r="P17" s="28"/>
      <c r="Q17" s="28"/>
      <c r="R17" s="29"/>
    </row>
    <row r="18" spans="1:21" x14ac:dyDescent="0.25">
      <c r="A18" s="16"/>
      <c r="B18" s="52" t="str">
        <f>IF(L24 = 0,"Alteration","Alteração")</f>
        <v>Alteration</v>
      </c>
      <c r="C18" s="53">
        <f t="shared" ref="C18:C25" si="8">IFERROR(_xlfn.NUMBERVALUE(D18), 0) * (IFERROR(_xlfn.NUMBERVALUE(D18), 0) + 1) / 2</f>
        <v>1</v>
      </c>
      <c r="D18" s="53">
        <v>1</v>
      </c>
      <c r="E18" s="53"/>
      <c r="F18" s="54" t="str">
        <f t="shared" ref="F18:F25" si="9">IF(D18 + E18 &lt; 1,"1d2",IF(D18 + E18 = 1, "1d4", IF(D18 + E18 = 2, "1d6", IF(D18 + E18 = 3, "1d8", IF(D18 + E18 = 4, "1d10", IF(D18 + E18 = 5, "2d6", IF(D18 + E18 = 6, "2d8", IF(D18 + E18 = 7, "2d10", IF(D18 + E18 = 8, "3d8", IF(D18 + E18 = 9, "3d10", IF(D18 + E18 = 10, "4d8", IF(D18 + E18 = 11, "6d6",IF(D18 + E18 = 12, "7d6",IF(D18 + E18 = 13, "6d8",IF(D18 + E18 = 14, "12d4",IF(D18 + E18 = 15, "6d10",IF(D18 + E18 = 16, "8d8",IF(D18 + E18 = 17, "7d10", ""))))))))))))))))))</f>
        <v>1d4</v>
      </c>
      <c r="K18" s="100"/>
      <c r="L18" s="101"/>
      <c r="M18" s="101"/>
      <c r="N18" s="78"/>
      <c r="P18" s="28"/>
      <c r="Q18" s="28"/>
      <c r="R18" s="29"/>
    </row>
    <row r="19" spans="1:21" x14ac:dyDescent="0.25">
      <c r="A19" s="16"/>
      <c r="B19" s="55" t="str">
        <f>IF(L24 = 0,"Creation","Criação")</f>
        <v>Creation</v>
      </c>
      <c r="C19" s="56">
        <f t="shared" si="8"/>
        <v>0</v>
      </c>
      <c r="D19" s="56"/>
      <c r="E19" s="56"/>
      <c r="F19" s="57" t="str">
        <f t="shared" si="9"/>
        <v>1d2</v>
      </c>
      <c r="K19" s="173" t="str">
        <f>IF(L24= 0, "Attribute Points", "Pontos de Atributo")</f>
        <v>Attribute Points</v>
      </c>
      <c r="L19" s="174"/>
      <c r="M19" s="174"/>
      <c r="N19" s="171">
        <v>2</v>
      </c>
      <c r="P19" s="28"/>
      <c r="Q19" s="28"/>
      <c r="R19" s="29"/>
    </row>
    <row r="20" spans="1:21" x14ac:dyDescent="0.25">
      <c r="A20" s="16"/>
      <c r="B20" s="52" t="str">
        <f>IF(L24 = 0,"Energy","Energia")</f>
        <v>Energy</v>
      </c>
      <c r="C20" s="53">
        <f t="shared" si="8"/>
        <v>0</v>
      </c>
      <c r="D20" s="53"/>
      <c r="E20" s="53"/>
      <c r="F20" s="54" t="str">
        <f t="shared" si="9"/>
        <v>1d2</v>
      </c>
      <c r="K20" s="175"/>
      <c r="L20" s="176"/>
      <c r="M20" s="176"/>
      <c r="N20" s="172"/>
      <c r="P20" s="28"/>
      <c r="Q20" s="28"/>
      <c r="R20" s="29"/>
    </row>
    <row r="21" spans="1:21" x14ac:dyDescent="0.25">
      <c r="A21" s="16"/>
      <c r="B21" s="55" t="str">
        <f>IF(L24 = 0,"Entropy","Entropia")</f>
        <v>Entropy</v>
      </c>
      <c r="C21" s="56">
        <f t="shared" si="8"/>
        <v>0</v>
      </c>
      <c r="D21" s="56"/>
      <c r="E21" s="56"/>
      <c r="F21" s="57" t="str">
        <f t="shared" si="9"/>
        <v>1d2</v>
      </c>
      <c r="K21" s="73" t="str">
        <f>IF(L24 = 0, "Feat Points", "Pontos de Perícia")</f>
        <v>Feat Points</v>
      </c>
      <c r="L21" s="74"/>
      <c r="M21" s="74"/>
      <c r="N21" s="179">
        <v>3</v>
      </c>
      <c r="P21" s="28"/>
      <c r="Q21" s="28"/>
      <c r="R21" s="29"/>
    </row>
    <row r="22" spans="1:21" ht="15" customHeight="1" thickBot="1" x14ac:dyDescent="0.3">
      <c r="A22" s="16"/>
      <c r="B22" s="52" t="str">
        <f>IF(L24 = 0,"Influcence","Influência")</f>
        <v>Influcence</v>
      </c>
      <c r="C22" s="53">
        <f t="shared" si="8"/>
        <v>0</v>
      </c>
      <c r="D22" s="53"/>
      <c r="E22" s="53"/>
      <c r="F22" s="54" t="str">
        <f t="shared" si="9"/>
        <v>1d2</v>
      </c>
      <c r="K22" s="75"/>
      <c r="L22" s="76"/>
      <c r="M22" s="76"/>
      <c r="N22" s="180"/>
      <c r="P22" s="28"/>
      <c r="Q22" s="28"/>
      <c r="R22" s="29"/>
    </row>
    <row r="23" spans="1:21" ht="15" customHeight="1" thickBot="1" x14ac:dyDescent="0.3">
      <c r="A23" s="16"/>
      <c r="B23" s="55" t="str">
        <f>IF(L24 = 0,"Movement","Movimento")</f>
        <v>Movement</v>
      </c>
      <c r="C23" s="56">
        <f t="shared" si="8"/>
        <v>0</v>
      </c>
      <c r="D23" s="56"/>
      <c r="E23" s="56"/>
      <c r="F23" s="57" t="str">
        <f t="shared" si="9"/>
        <v>1d2</v>
      </c>
      <c r="P23" s="28"/>
      <c r="Q23" s="28"/>
      <c r="R23" s="29"/>
    </row>
    <row r="24" spans="1:21" ht="15" customHeight="1" x14ac:dyDescent="0.25">
      <c r="A24" s="16"/>
      <c r="B24" s="52" t="str">
        <f>IF(L24 = 0,"Prescience","Preciência")</f>
        <v>Prescience</v>
      </c>
      <c r="C24" s="53">
        <f t="shared" si="8"/>
        <v>0</v>
      </c>
      <c r="D24" s="53"/>
      <c r="E24" s="53"/>
      <c r="F24" s="54" t="str">
        <f t="shared" si="9"/>
        <v>1d2</v>
      </c>
      <c r="K24" s="138" t="str">
        <f>IF(L24 = 0, "Language:", "Língua:")</f>
        <v>Language:</v>
      </c>
      <c r="L24" s="155">
        <v>0</v>
      </c>
      <c r="M24" s="155"/>
      <c r="N24" s="156"/>
      <c r="P24" s="28"/>
      <c r="Q24" s="28"/>
      <c r="R24" s="29"/>
    </row>
    <row r="25" spans="1:21" ht="15" customHeight="1" thickBot="1" x14ac:dyDescent="0.3">
      <c r="A25" s="16"/>
      <c r="B25" s="58" t="str">
        <f>IF(L24 = 0,"Protection","Proteção")</f>
        <v>Protection</v>
      </c>
      <c r="C25" s="59">
        <f t="shared" si="8"/>
        <v>1</v>
      </c>
      <c r="D25" s="59">
        <v>1</v>
      </c>
      <c r="E25" s="59"/>
      <c r="F25" s="60" t="str">
        <f t="shared" si="9"/>
        <v>1d4</v>
      </c>
      <c r="K25" s="139"/>
      <c r="L25" s="157"/>
      <c r="M25" s="157"/>
      <c r="N25" s="158"/>
      <c r="P25" s="28"/>
      <c r="Q25" s="28"/>
      <c r="R25" s="29"/>
    </row>
    <row r="26" spans="1:21" ht="16.5" thickTop="1" thickBot="1" x14ac:dyDescent="0.3">
      <c r="K26" s="1">
        <v>0</v>
      </c>
      <c r="L26" s="161" t="str">
        <f>IF(L24 = 0,"English","Inglês")</f>
        <v>English</v>
      </c>
      <c r="M26" s="161"/>
      <c r="N26" s="162"/>
      <c r="P26" s="28"/>
      <c r="Q26" s="28"/>
      <c r="R26" s="29"/>
    </row>
    <row r="27" spans="1:21" ht="15.75" thickBot="1" x14ac:dyDescent="0.3">
      <c r="B27" s="140" t="str">
        <f>IF(L24 = 0, "Defense Calculation", "Cálculo de Defesa")</f>
        <v>Defense Calculation</v>
      </c>
      <c r="C27" s="141"/>
      <c r="D27" s="141"/>
      <c r="E27" s="141"/>
      <c r="F27" s="142"/>
      <c r="K27" s="2">
        <v>1</v>
      </c>
      <c r="L27" s="159" t="str">
        <f>IF(L24 = 0,"Portuguese","Português")</f>
        <v>Portuguese</v>
      </c>
      <c r="M27" s="159"/>
      <c r="N27" s="160"/>
    </row>
    <row r="28" spans="1:21" ht="15.75" thickBot="1" x14ac:dyDescent="0.3">
      <c r="B28" s="143" t="str">
        <f>IF(L24 = 0, "Pre-Defense", "Antes da Defesa")</f>
        <v>Pre-Defense</v>
      </c>
      <c r="C28" s="144"/>
      <c r="D28" s="102" t="str">
        <f>IF(L24 = 0, "Post-Defense", "Pós-Defesa")</f>
        <v>Post-Defense</v>
      </c>
      <c r="E28" s="103"/>
      <c r="F28" s="104"/>
    </row>
    <row r="29" spans="1:21" ht="15.75" thickBot="1" x14ac:dyDescent="0.3">
      <c r="B29" s="145"/>
      <c r="C29" s="146"/>
      <c r="D29" s="146" t="str">
        <f>IF(B29 = "", "", IF(L14+N14 &lt; 0, B29 - (L12+N12), IF(ROUNDDOWN(B29 * 15/(L14+N14+15) - (L12+N12), 0) &gt;= 0, ROUNDDOWN(B29 * 15/(L14+N14+15) - (L12+N12), 0), 0)))</f>
        <v/>
      </c>
      <c r="E29" s="146"/>
      <c r="F29" s="149"/>
      <c r="K29" s="61" t="str">
        <f>IF(L24 = 0, "Size:", "Tamanho:")</f>
        <v>Size:</v>
      </c>
      <c r="L29" s="135">
        <v>5</v>
      </c>
      <c r="M29" s="136"/>
      <c r="N29" s="137"/>
    </row>
    <row r="30" spans="1:21" ht="15.75" customHeight="1" thickBot="1" x14ac:dyDescent="0.3">
      <c r="B30" s="147"/>
      <c r="C30" s="148"/>
      <c r="D30" s="148"/>
      <c r="E30" s="148"/>
      <c r="F30" s="150"/>
    </row>
    <row r="31" spans="1:21" ht="19.5" thickBot="1" x14ac:dyDescent="0.3">
      <c r="P31" s="122" t="s">
        <v>6</v>
      </c>
      <c r="Q31" s="122"/>
      <c r="R31" s="122"/>
      <c r="S31" s="122"/>
      <c r="T31" s="122"/>
      <c r="U31" s="122"/>
    </row>
    <row r="32" spans="1:21" ht="34.5" thickBot="1" x14ac:dyDescent="0.3">
      <c r="B32" s="6" t="s">
        <v>5</v>
      </c>
      <c r="C32" s="181">
        <v>36</v>
      </c>
      <c r="D32" s="181"/>
      <c r="E32" s="5" t="s">
        <v>0</v>
      </c>
      <c r="F32" s="7">
        <f xml:space="preserve"> 8 + 3*(D6+E6) + 2*(D5+E5) + D7+E7 + 2*L4</f>
        <v>36</v>
      </c>
      <c r="H32" s="3" t="s">
        <v>29</v>
      </c>
      <c r="I32" s="4" t="s">
        <v>30</v>
      </c>
      <c r="J32" s="4" t="s">
        <v>31</v>
      </c>
      <c r="K32" s="4" t="s">
        <v>32</v>
      </c>
      <c r="P32" s="62" t="str">
        <f>IF(L24=0,"Name","Nome")</f>
        <v>Name</v>
      </c>
      <c r="Q32" s="62" t="s">
        <v>7</v>
      </c>
      <c r="R32" s="62" t="str">
        <f>IF(L24=0,"Effect","Efeito")</f>
        <v>Effect</v>
      </c>
      <c r="S32" s="62" t="str">
        <f>IF(L24=0,"Defense","Defesa")</f>
        <v>Defense</v>
      </c>
      <c r="T32" s="63" t="s">
        <v>10</v>
      </c>
      <c r="U32" s="63" t="s">
        <v>11</v>
      </c>
    </row>
    <row r="33" spans="2:21" ht="105.75" thickBot="1" x14ac:dyDescent="0.3">
      <c r="H33" s="64" t="s">
        <v>45</v>
      </c>
      <c r="I33" s="64" t="s">
        <v>41</v>
      </c>
      <c r="J33" s="28" t="s">
        <v>14</v>
      </c>
      <c r="K33" s="28" t="s">
        <v>14</v>
      </c>
      <c r="P33" s="28" t="s">
        <v>15</v>
      </c>
      <c r="Q33" s="28" t="s">
        <v>21</v>
      </c>
      <c r="R33" s="64" t="s">
        <v>22</v>
      </c>
      <c r="S33" s="64" t="s">
        <v>18</v>
      </c>
      <c r="T33" s="65" t="s">
        <v>19</v>
      </c>
      <c r="U33" s="64" t="s">
        <v>20</v>
      </c>
    </row>
    <row r="34" spans="2:21" ht="60.75" thickBot="1" x14ac:dyDescent="0.3">
      <c r="B34" s="115" t="str">
        <f>IF(L24 = 0, "HP Dice", "Dado de HP")</f>
        <v>HP Dice</v>
      </c>
      <c r="C34" s="113"/>
      <c r="D34" s="113" t="str">
        <f>IF(L24 = 0,"Fortitude","Fortitude")</f>
        <v>Fortitude</v>
      </c>
      <c r="E34" s="113"/>
      <c r="F34" s="114"/>
      <c r="H34" s="64" t="s">
        <v>46</v>
      </c>
      <c r="I34" s="66" t="s">
        <v>34</v>
      </c>
      <c r="J34" s="28" t="s">
        <v>14</v>
      </c>
      <c r="K34" s="28" t="s">
        <v>14</v>
      </c>
      <c r="P34" s="64" t="s">
        <v>16</v>
      </c>
      <c r="Q34" s="28" t="s">
        <v>21</v>
      </c>
      <c r="R34" s="64" t="s">
        <v>25</v>
      </c>
      <c r="S34" s="64" t="s">
        <v>23</v>
      </c>
      <c r="T34" s="28" t="s">
        <v>19</v>
      </c>
      <c r="U34" s="67" t="s">
        <v>24</v>
      </c>
    </row>
    <row r="35" spans="2:21" ht="45.75" thickBot="1" x14ac:dyDescent="0.3">
      <c r="B35" s="116" t="str">
        <f>IF(L24 = 0, "MP Dice", "Dado de MP")</f>
        <v>MP Dice</v>
      </c>
      <c r="C35" s="117"/>
      <c r="D35" s="117" t="str">
        <f>IF(L24 = 0,"Will","Vontade")</f>
        <v>Will</v>
      </c>
      <c r="E35" s="117"/>
      <c r="F35" s="118"/>
      <c r="H35" s="64" t="s">
        <v>44</v>
      </c>
      <c r="I35" s="66" t="s">
        <v>43</v>
      </c>
      <c r="J35" s="28" t="s">
        <v>13</v>
      </c>
      <c r="K35" s="64" t="s">
        <v>42</v>
      </c>
      <c r="P35" s="64" t="s">
        <v>17</v>
      </c>
      <c r="Q35" s="28" t="s">
        <v>21</v>
      </c>
      <c r="R35" s="66" t="s">
        <v>28</v>
      </c>
      <c r="S35" s="64" t="s">
        <v>27</v>
      </c>
      <c r="T35" s="28" t="s">
        <v>26</v>
      </c>
      <c r="U35" s="67" t="s">
        <v>24</v>
      </c>
    </row>
    <row r="36" spans="2:21" x14ac:dyDescent="0.25">
      <c r="H36" s="64" t="s">
        <v>47</v>
      </c>
      <c r="I36" s="70" t="s">
        <v>48</v>
      </c>
      <c r="J36" s="28" t="s">
        <v>14</v>
      </c>
      <c r="K36" s="28" t="s">
        <v>49</v>
      </c>
      <c r="P36" s="64"/>
      <c r="Q36" s="28"/>
      <c r="R36" s="66"/>
      <c r="S36" s="64"/>
      <c r="T36" s="28"/>
      <c r="U36" s="64"/>
    </row>
    <row r="37" spans="2:21" ht="15.75" customHeight="1" x14ac:dyDescent="0.25">
      <c r="P37" s="64"/>
      <c r="Q37" s="28"/>
      <c r="R37" s="66"/>
      <c r="S37" s="64"/>
      <c r="T37" s="28"/>
      <c r="U37" s="64"/>
    </row>
    <row r="40" spans="2:21" x14ac:dyDescent="0.25">
      <c r="H40" s="68"/>
      <c r="I40" s="68"/>
      <c r="J40" s="68"/>
    </row>
    <row r="64" spans="2:5" ht="15" customHeight="1" x14ac:dyDescent="0.25">
      <c r="B64" s="151" t="s">
        <v>33</v>
      </c>
      <c r="C64" s="151"/>
      <c r="D64" s="69" t="s">
        <v>35</v>
      </c>
      <c r="E64">
        <f>_xlfn.FLOOR.MATH(0.75*(D7 + E7) + 0.5*(D6 + E6) + 0.5*(D25 + E25) + (L29-5))</f>
        <v>5</v>
      </c>
    </row>
    <row r="65" spans="2:5" x14ac:dyDescent="0.25">
      <c r="B65" s="151"/>
      <c r="C65" s="151"/>
      <c r="D65" s="69" t="s">
        <v>36</v>
      </c>
      <c r="E65">
        <f>ROUND(0.75*(D5 + E5) + 0.5*(D11 + E11) + 0.75*(D14 + E14)  - 0*(D7 + E7) - (L29 - 5), 0)</f>
        <v>7</v>
      </c>
    </row>
  </sheetData>
  <mergeCells count="52">
    <mergeCell ref="B64:C65"/>
    <mergeCell ref="B2:F2"/>
    <mergeCell ref="L24:N25"/>
    <mergeCell ref="L27:N27"/>
    <mergeCell ref="L26:N26"/>
    <mergeCell ref="N12:N13"/>
    <mergeCell ref="L9:L10"/>
    <mergeCell ref="N14:N15"/>
    <mergeCell ref="M14:M15"/>
    <mergeCell ref="N19:N20"/>
    <mergeCell ref="K19:M20"/>
    <mergeCell ref="K14:K15"/>
    <mergeCell ref="L14:L15"/>
    <mergeCell ref="M12:M13"/>
    <mergeCell ref="N21:N22"/>
    <mergeCell ref="C32:D32"/>
    <mergeCell ref="D34:F34"/>
    <mergeCell ref="B34:C34"/>
    <mergeCell ref="B35:C35"/>
    <mergeCell ref="D35:F35"/>
    <mergeCell ref="T2:V2"/>
    <mergeCell ref="P31:U31"/>
    <mergeCell ref="B17:F17"/>
    <mergeCell ref="B13:F13"/>
    <mergeCell ref="B8:F8"/>
    <mergeCell ref="B4:F4"/>
    <mergeCell ref="L29:N29"/>
    <mergeCell ref="K24:K25"/>
    <mergeCell ref="B27:F27"/>
    <mergeCell ref="B28:C28"/>
    <mergeCell ref="B29:C30"/>
    <mergeCell ref="D29:F30"/>
    <mergeCell ref="D28:F28"/>
    <mergeCell ref="K9:K10"/>
    <mergeCell ref="K12:K13"/>
    <mergeCell ref="L12:L13"/>
    <mergeCell ref="T6:T7"/>
    <mergeCell ref="U6:U7"/>
    <mergeCell ref="K21:M22"/>
    <mergeCell ref="N17:N18"/>
    <mergeCell ref="L2:N3"/>
    <mergeCell ref="L4:N5"/>
    <mergeCell ref="K4:K5"/>
    <mergeCell ref="K7:K8"/>
    <mergeCell ref="P2:R3"/>
    <mergeCell ref="K2:K3"/>
    <mergeCell ref="L7:L8"/>
    <mergeCell ref="M7:M8"/>
    <mergeCell ref="N7:N8"/>
    <mergeCell ref="M9:M10"/>
    <mergeCell ref="N9:N10"/>
    <mergeCell ref="K17:M18"/>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52" r:id="rId4" name="CommandButton1">
          <controlPr defaultSize="0" autoLine="0" r:id="rId5">
            <anchor moveWithCells="1">
              <from>
                <xdr:col>11</xdr:col>
                <xdr:colOff>142875</xdr:colOff>
                <xdr:row>30</xdr:row>
                <xdr:rowOff>95250</xdr:rowOff>
              </from>
              <to>
                <xdr:col>14</xdr:col>
                <xdr:colOff>47625</xdr:colOff>
                <xdr:row>31</xdr:row>
                <xdr:rowOff>285750</xdr:rowOff>
              </to>
            </anchor>
          </controlPr>
        </control>
      </mc:Choice>
      <mc:Fallback>
        <control shapeId="1052" r:id="rId4" name="CommandButton1"/>
      </mc:Fallback>
    </mc:AlternateContent>
    <mc:AlternateContent xmlns:mc="http://schemas.openxmlformats.org/markup-compatibility/2006">
      <mc:Choice Requires="x14">
        <control shapeId="1051" r:id="rId6" name="XPPlus">
          <controlPr defaultSize="0" autoLine="0" r:id="rId7">
            <anchor moveWithCells="1" sizeWithCells="1">
              <from>
                <xdr:col>9</xdr:col>
                <xdr:colOff>333375</xdr:colOff>
                <xdr:row>1</xdr:row>
                <xdr:rowOff>38100</xdr:rowOff>
              </from>
              <to>
                <xdr:col>9</xdr:col>
                <xdr:colOff>695325</xdr:colOff>
                <xdr:row>2</xdr:row>
                <xdr:rowOff>152400</xdr:rowOff>
              </to>
            </anchor>
          </controlPr>
        </control>
      </mc:Choice>
      <mc:Fallback>
        <control shapeId="1051" r:id="rId6" name="XPPlus"/>
      </mc:Fallback>
    </mc:AlternateContent>
    <mc:AlternateContent xmlns:mc="http://schemas.openxmlformats.org/markup-compatibility/2006">
      <mc:Choice Requires="x14">
        <control shapeId="1026" r:id="rId8" name="Button 2">
          <controlPr defaultSize="0" print="0" autoFill="0" autoPict="0" macro="[0]!AgilityIncrease">
            <anchor moveWithCells="1" sizeWithCells="1">
              <from>
                <xdr:col>0</xdr:col>
                <xdr:colOff>419100</xdr:colOff>
                <xdr:row>4</xdr:row>
                <xdr:rowOff>19050</xdr:rowOff>
              </from>
              <to>
                <xdr:col>0</xdr:col>
                <xdr:colOff>590550</xdr:colOff>
                <xdr:row>4</xdr:row>
                <xdr:rowOff>190500</xdr:rowOff>
              </to>
            </anchor>
          </controlPr>
        </control>
      </mc:Choice>
    </mc:AlternateContent>
    <mc:AlternateContent xmlns:mc="http://schemas.openxmlformats.org/markup-compatibility/2006">
      <mc:Choice Requires="x14">
        <control shapeId="1031" r:id="rId9" name="Button 7">
          <controlPr defaultSize="0" print="0" autoFill="0" autoPict="0" macro="[0]!FortitudeIncrease">
            <anchor moveWithCells="1" sizeWithCells="1">
              <from>
                <xdr:col>0</xdr:col>
                <xdr:colOff>419100</xdr:colOff>
                <xdr:row>5</xdr:row>
                <xdr:rowOff>9525</xdr:rowOff>
              </from>
              <to>
                <xdr:col>0</xdr:col>
                <xdr:colOff>590550</xdr:colOff>
                <xdr:row>5</xdr:row>
                <xdr:rowOff>180975</xdr:rowOff>
              </to>
            </anchor>
          </controlPr>
        </control>
      </mc:Choice>
    </mc:AlternateContent>
    <mc:AlternateContent xmlns:mc="http://schemas.openxmlformats.org/markup-compatibility/2006">
      <mc:Choice Requires="x14">
        <control shapeId="1032" r:id="rId10" name="Button 8">
          <controlPr defaultSize="0" print="0" autoFill="0" autoPict="0" macro="[0]!MightIncrease">
            <anchor moveWithCells="1" sizeWithCells="1">
              <from>
                <xdr:col>0</xdr:col>
                <xdr:colOff>419100</xdr:colOff>
                <xdr:row>6</xdr:row>
                <xdr:rowOff>9525</xdr:rowOff>
              </from>
              <to>
                <xdr:col>0</xdr:col>
                <xdr:colOff>590550</xdr:colOff>
                <xdr:row>6</xdr:row>
                <xdr:rowOff>180975</xdr:rowOff>
              </to>
            </anchor>
          </controlPr>
        </control>
      </mc:Choice>
    </mc:AlternateContent>
    <mc:AlternateContent xmlns:mc="http://schemas.openxmlformats.org/markup-compatibility/2006">
      <mc:Choice Requires="x14">
        <control shapeId="1033" r:id="rId11" name="Button 9">
          <controlPr defaultSize="0" print="0" autoFill="0" autoPict="0" macro="[0]!LearnIncrease">
            <anchor moveWithCells="1" sizeWithCells="1">
              <from>
                <xdr:col>0</xdr:col>
                <xdr:colOff>419100</xdr:colOff>
                <xdr:row>8</xdr:row>
                <xdr:rowOff>19050</xdr:rowOff>
              </from>
              <to>
                <xdr:col>0</xdr:col>
                <xdr:colOff>590550</xdr:colOff>
                <xdr:row>8</xdr:row>
                <xdr:rowOff>190500</xdr:rowOff>
              </to>
            </anchor>
          </controlPr>
        </control>
      </mc:Choice>
    </mc:AlternateContent>
    <mc:AlternateContent xmlns:mc="http://schemas.openxmlformats.org/markup-compatibility/2006">
      <mc:Choice Requires="x14">
        <control shapeId="1034" r:id="rId12" name="Button 10">
          <controlPr defaultSize="0" print="0" autoFill="0" autoPict="0" macro="[0]!LogicIncrease">
            <anchor moveWithCells="1" sizeWithCells="1">
              <from>
                <xdr:col>0</xdr:col>
                <xdr:colOff>419100</xdr:colOff>
                <xdr:row>9</xdr:row>
                <xdr:rowOff>9525</xdr:rowOff>
              </from>
              <to>
                <xdr:col>0</xdr:col>
                <xdr:colOff>590550</xdr:colOff>
                <xdr:row>9</xdr:row>
                <xdr:rowOff>180975</xdr:rowOff>
              </to>
            </anchor>
          </controlPr>
        </control>
      </mc:Choice>
    </mc:AlternateContent>
    <mc:AlternateContent xmlns:mc="http://schemas.openxmlformats.org/markup-compatibility/2006">
      <mc:Choice Requires="x14">
        <control shapeId="1035" r:id="rId13" name="Button 11">
          <controlPr defaultSize="0" print="0" autoFill="0" autoPict="0" macro="[0]!PerceptionIncrease">
            <anchor moveWithCells="1" sizeWithCells="1">
              <from>
                <xdr:col>0</xdr:col>
                <xdr:colOff>419100</xdr:colOff>
                <xdr:row>10</xdr:row>
                <xdr:rowOff>9525</xdr:rowOff>
              </from>
              <to>
                <xdr:col>0</xdr:col>
                <xdr:colOff>590550</xdr:colOff>
                <xdr:row>10</xdr:row>
                <xdr:rowOff>180975</xdr:rowOff>
              </to>
            </anchor>
          </controlPr>
        </control>
      </mc:Choice>
    </mc:AlternateContent>
    <mc:AlternateContent xmlns:mc="http://schemas.openxmlformats.org/markup-compatibility/2006">
      <mc:Choice Requires="x14">
        <control shapeId="1036" r:id="rId14" name="Button 12">
          <controlPr defaultSize="0" print="0" autoFill="0" autoPict="0" macro="[0]!WillIncrease">
            <anchor moveWithCells="1" sizeWithCells="1">
              <from>
                <xdr:col>0</xdr:col>
                <xdr:colOff>419100</xdr:colOff>
                <xdr:row>11</xdr:row>
                <xdr:rowOff>9525</xdr:rowOff>
              </from>
              <to>
                <xdr:col>0</xdr:col>
                <xdr:colOff>590550</xdr:colOff>
                <xdr:row>11</xdr:row>
                <xdr:rowOff>180975</xdr:rowOff>
              </to>
            </anchor>
          </controlPr>
        </control>
      </mc:Choice>
    </mc:AlternateContent>
    <mc:AlternateContent xmlns:mc="http://schemas.openxmlformats.org/markup-compatibility/2006">
      <mc:Choice Requires="x14">
        <control shapeId="1039" r:id="rId15" name="Button 15">
          <controlPr defaultSize="0" print="0" autoFill="0" autoPict="0" macro="[0]!DeceptionIncrease">
            <anchor moveWithCells="1" sizeWithCells="1">
              <from>
                <xdr:col>0</xdr:col>
                <xdr:colOff>419100</xdr:colOff>
                <xdr:row>13</xdr:row>
                <xdr:rowOff>9525</xdr:rowOff>
              </from>
              <to>
                <xdr:col>0</xdr:col>
                <xdr:colOff>590550</xdr:colOff>
                <xdr:row>13</xdr:row>
                <xdr:rowOff>180975</xdr:rowOff>
              </to>
            </anchor>
          </controlPr>
        </control>
      </mc:Choice>
    </mc:AlternateContent>
    <mc:AlternateContent xmlns:mc="http://schemas.openxmlformats.org/markup-compatibility/2006">
      <mc:Choice Requires="x14">
        <control shapeId="1040" r:id="rId16" name="Button 16">
          <controlPr defaultSize="0" print="0" autoFill="0" autoPict="0" macro="[0]!PersuationIncrease">
            <anchor moveWithCells="1" sizeWithCells="1">
              <from>
                <xdr:col>0</xdr:col>
                <xdr:colOff>419100</xdr:colOff>
                <xdr:row>14</xdr:row>
                <xdr:rowOff>9525</xdr:rowOff>
              </from>
              <to>
                <xdr:col>0</xdr:col>
                <xdr:colOff>590550</xdr:colOff>
                <xdr:row>14</xdr:row>
                <xdr:rowOff>180975</xdr:rowOff>
              </to>
            </anchor>
          </controlPr>
        </control>
      </mc:Choice>
    </mc:AlternateContent>
    <mc:AlternateContent xmlns:mc="http://schemas.openxmlformats.org/markup-compatibility/2006">
      <mc:Choice Requires="x14">
        <control shapeId="1041" r:id="rId17" name="Button 17">
          <controlPr defaultSize="0" print="0" autoFill="0" autoPict="0" macro="[0]!PresenceIncrease">
            <anchor moveWithCells="1" sizeWithCells="1">
              <from>
                <xdr:col>0</xdr:col>
                <xdr:colOff>419100</xdr:colOff>
                <xdr:row>15</xdr:row>
                <xdr:rowOff>9525</xdr:rowOff>
              </from>
              <to>
                <xdr:col>0</xdr:col>
                <xdr:colOff>590550</xdr:colOff>
                <xdr:row>15</xdr:row>
                <xdr:rowOff>180975</xdr:rowOff>
              </to>
            </anchor>
          </controlPr>
        </control>
      </mc:Choice>
    </mc:AlternateContent>
    <mc:AlternateContent xmlns:mc="http://schemas.openxmlformats.org/markup-compatibility/2006">
      <mc:Choice Requires="x14">
        <control shapeId="1042" r:id="rId18" name="Button 18">
          <controlPr defaultSize="0" print="0" autoFill="0" autoPict="0" macro="[0]!AlterationIncrease">
            <anchor moveWithCells="1" sizeWithCells="1">
              <from>
                <xdr:col>0</xdr:col>
                <xdr:colOff>419100</xdr:colOff>
                <xdr:row>17</xdr:row>
                <xdr:rowOff>9525</xdr:rowOff>
              </from>
              <to>
                <xdr:col>0</xdr:col>
                <xdr:colOff>590550</xdr:colOff>
                <xdr:row>17</xdr:row>
                <xdr:rowOff>180975</xdr:rowOff>
              </to>
            </anchor>
          </controlPr>
        </control>
      </mc:Choice>
    </mc:AlternateContent>
    <mc:AlternateContent xmlns:mc="http://schemas.openxmlformats.org/markup-compatibility/2006">
      <mc:Choice Requires="x14">
        <control shapeId="1043" r:id="rId19" name="Button 19">
          <controlPr defaultSize="0" print="0" autoFill="0" autoPict="0" macro="[0]!CreationIncrease">
            <anchor moveWithCells="1" sizeWithCells="1">
              <from>
                <xdr:col>0</xdr:col>
                <xdr:colOff>419100</xdr:colOff>
                <xdr:row>18</xdr:row>
                <xdr:rowOff>9525</xdr:rowOff>
              </from>
              <to>
                <xdr:col>0</xdr:col>
                <xdr:colOff>590550</xdr:colOff>
                <xdr:row>18</xdr:row>
                <xdr:rowOff>180975</xdr:rowOff>
              </to>
            </anchor>
          </controlPr>
        </control>
      </mc:Choice>
    </mc:AlternateContent>
    <mc:AlternateContent xmlns:mc="http://schemas.openxmlformats.org/markup-compatibility/2006">
      <mc:Choice Requires="x14">
        <control shapeId="1044" r:id="rId20" name="Button 20">
          <controlPr defaultSize="0" print="0" autoFill="0" autoPict="0" macro="[0]!EnergyIncrease">
            <anchor moveWithCells="1" sizeWithCells="1">
              <from>
                <xdr:col>0</xdr:col>
                <xdr:colOff>419100</xdr:colOff>
                <xdr:row>19</xdr:row>
                <xdr:rowOff>9525</xdr:rowOff>
              </from>
              <to>
                <xdr:col>0</xdr:col>
                <xdr:colOff>590550</xdr:colOff>
                <xdr:row>19</xdr:row>
                <xdr:rowOff>180975</xdr:rowOff>
              </to>
            </anchor>
          </controlPr>
        </control>
      </mc:Choice>
    </mc:AlternateContent>
    <mc:AlternateContent xmlns:mc="http://schemas.openxmlformats.org/markup-compatibility/2006">
      <mc:Choice Requires="x14">
        <control shapeId="1045" r:id="rId21" name="Button 21">
          <controlPr defaultSize="0" print="0" autoFill="0" autoPict="0" macro="[0]!EntropyIncrease">
            <anchor moveWithCells="1" sizeWithCells="1">
              <from>
                <xdr:col>0</xdr:col>
                <xdr:colOff>419100</xdr:colOff>
                <xdr:row>20</xdr:row>
                <xdr:rowOff>9525</xdr:rowOff>
              </from>
              <to>
                <xdr:col>0</xdr:col>
                <xdr:colOff>590550</xdr:colOff>
                <xdr:row>20</xdr:row>
                <xdr:rowOff>180975</xdr:rowOff>
              </to>
            </anchor>
          </controlPr>
        </control>
      </mc:Choice>
    </mc:AlternateContent>
    <mc:AlternateContent xmlns:mc="http://schemas.openxmlformats.org/markup-compatibility/2006">
      <mc:Choice Requires="x14">
        <control shapeId="1046" r:id="rId22" name="Button 22">
          <controlPr defaultSize="0" print="0" autoFill="0" autoPict="0" macro="[0]!InfluenceIncrease">
            <anchor moveWithCells="1" sizeWithCells="1">
              <from>
                <xdr:col>0</xdr:col>
                <xdr:colOff>419100</xdr:colOff>
                <xdr:row>21</xdr:row>
                <xdr:rowOff>9525</xdr:rowOff>
              </from>
              <to>
                <xdr:col>0</xdr:col>
                <xdr:colOff>590550</xdr:colOff>
                <xdr:row>21</xdr:row>
                <xdr:rowOff>180975</xdr:rowOff>
              </to>
            </anchor>
          </controlPr>
        </control>
      </mc:Choice>
    </mc:AlternateContent>
    <mc:AlternateContent xmlns:mc="http://schemas.openxmlformats.org/markup-compatibility/2006">
      <mc:Choice Requires="x14">
        <control shapeId="1047" r:id="rId23" name="Button 23">
          <controlPr defaultSize="0" print="0" autoFill="0" autoPict="0" macro="[0]!MovementIncrease">
            <anchor moveWithCells="1" sizeWithCells="1">
              <from>
                <xdr:col>0</xdr:col>
                <xdr:colOff>419100</xdr:colOff>
                <xdr:row>22</xdr:row>
                <xdr:rowOff>9525</xdr:rowOff>
              </from>
              <to>
                <xdr:col>0</xdr:col>
                <xdr:colOff>590550</xdr:colOff>
                <xdr:row>22</xdr:row>
                <xdr:rowOff>180975</xdr:rowOff>
              </to>
            </anchor>
          </controlPr>
        </control>
      </mc:Choice>
    </mc:AlternateContent>
    <mc:AlternateContent xmlns:mc="http://schemas.openxmlformats.org/markup-compatibility/2006">
      <mc:Choice Requires="x14">
        <control shapeId="1048" r:id="rId24" name="Button 24">
          <controlPr defaultSize="0" print="0" autoFill="0" autoPict="0" macro="[0]!PrescienceIncrease">
            <anchor moveWithCells="1" sizeWithCells="1">
              <from>
                <xdr:col>0</xdr:col>
                <xdr:colOff>419100</xdr:colOff>
                <xdr:row>23</xdr:row>
                <xdr:rowOff>9525</xdr:rowOff>
              </from>
              <to>
                <xdr:col>0</xdr:col>
                <xdr:colOff>590550</xdr:colOff>
                <xdr:row>23</xdr:row>
                <xdr:rowOff>180975</xdr:rowOff>
              </to>
            </anchor>
          </controlPr>
        </control>
      </mc:Choice>
    </mc:AlternateContent>
    <mc:AlternateContent xmlns:mc="http://schemas.openxmlformats.org/markup-compatibility/2006">
      <mc:Choice Requires="x14">
        <control shapeId="1049" r:id="rId25" name="Button 25">
          <controlPr defaultSize="0" print="0" autoFill="0" autoPict="0" macro="[0]!ProtectionIncrease">
            <anchor moveWithCells="1" sizeWithCells="1">
              <from>
                <xdr:col>0</xdr:col>
                <xdr:colOff>419100</xdr:colOff>
                <xdr:row>24</xdr:row>
                <xdr:rowOff>9525</xdr:rowOff>
              </from>
              <to>
                <xdr:col>0</xdr:col>
                <xdr:colOff>590550</xdr:colOff>
                <xdr:row>24</xdr:row>
                <xdr:rowOff>180975</xdr:rowOff>
              </to>
            </anchor>
          </controlPr>
        </control>
      </mc:Choice>
    </mc:AlternateContent>
  </controls>
  <tableParts count="4">
    <tablePart r:id="rId26"/>
    <tablePart r:id="rId27"/>
    <tablePart r:id="rId28"/>
    <tablePart r:id="rId29"/>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Ragan</dc:creator>
  <cp:lastModifiedBy>Ragan</cp:lastModifiedBy>
  <dcterms:created xsi:type="dcterms:W3CDTF">2018-01-26T14:39:37Z</dcterms:created>
  <dcterms:modified xsi:type="dcterms:W3CDTF">2019-04-07T02:16:38Z</dcterms:modified>
</cp:coreProperties>
</file>