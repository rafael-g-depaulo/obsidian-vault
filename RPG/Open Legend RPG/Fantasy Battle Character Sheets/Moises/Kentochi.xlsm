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Moises\"/>
    </mc:Choice>
  </mc:AlternateContent>
  <xr:revisionPtr revIDLastSave="0" documentId="13_ncr:1_{F297E404-6240-474F-8E8B-54DA58D6AEEF}" xr6:coauthVersionLast="43" xr6:coauthVersionMax="43" xr10:uidLastSave="{00000000-0000-0000-0000-000000000000}"/>
  <bookViews>
    <workbookView xWindow="28680" yWindow="-120" windowWidth="15600" windowHeight="1116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1" l="1"/>
  <c r="N7" i="1"/>
  <c r="L12" i="1" l="1"/>
  <c r="L14" i="1"/>
  <c r="T10" i="1" l="1"/>
  <c r="T9" i="1"/>
  <c r="D29" i="1" l="1"/>
  <c r="U4" i="1" l="1"/>
  <c r="V4" i="1" s="1"/>
  <c r="T4" i="1"/>
  <c r="U3" i="1"/>
  <c r="V3" i="1" s="1"/>
  <c r="T3" i="1"/>
  <c r="T2" i="1"/>
  <c r="S32" i="1" l="1"/>
  <c r="R32" i="1" l="1"/>
  <c r="P32" i="1"/>
  <c r="C5" i="1" l="1"/>
  <c r="F32" i="1" l="1"/>
  <c r="K32" i="1" l="1"/>
  <c r="H32" i="1"/>
  <c r="U6" i="1" l="1"/>
  <c r="B13" i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 l="1"/>
  <c r="E37" i="1"/>
  <c r="D37" i="1"/>
  <c r="F36" i="1"/>
  <c r="E36" i="1"/>
  <c r="D36" i="1"/>
  <c r="B34" i="1" l="1"/>
  <c r="B9" i="1" l="1"/>
  <c r="D34" i="1"/>
  <c r="B6" i="1"/>
  <c r="B36" i="1"/>
  <c r="B27" i="1"/>
  <c r="M14" i="1" l="1"/>
  <c r="M12" i="1"/>
  <c r="C3" i="1" l="1"/>
  <c r="D3" i="1"/>
  <c r="E3" i="1"/>
  <c r="B24" i="1" l="1"/>
  <c r="B23" i="1"/>
  <c r="B18" i="1"/>
  <c r="B20" i="1"/>
  <c r="J32" i="1"/>
  <c r="Q4" i="1" l="1"/>
  <c r="R4" i="1"/>
  <c r="P2" i="1"/>
  <c r="I3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2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<sst xmlns="http://schemas.openxmlformats.org/spreadsheetml/2006/main" count="53" uniqueCount="41">
  <si>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</si>
  <si>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</si>
  <si>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</si>
  <si>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</si>
  <si>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</si>
  <si>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</si>
  <si>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</si>
  <si>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</si>
  <si>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</si>
  <si>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</si>
  <si>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</si>
  <si>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</si>
  <si>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-</t>
  </si>
  <si>
    <t>Might for Alteration</t>
  </si>
  <si>
    <t>Eath Blessing</t>
  </si>
  <si>
    <t>EB: Mana&amp;Stamina I</t>
  </si>
  <si>
    <t>Attribute Sustituiton I</t>
  </si>
  <si>
    <t>Battle Trance</t>
  </si>
  <si>
    <t>2 Stam p/ turno</t>
  </si>
  <si>
    <t>Minor Action. Guard +2. Adv+1 on attacks. Ends if didn't hit an attack in 3 turns. When ends, suffer 1 fatigue.</t>
  </si>
  <si>
    <t>On a Short or Long Rest, if you're in contact with the ground, you recover double the Mana &amp; HP.</t>
  </si>
  <si>
    <t>5</t>
  </si>
  <si>
    <t>Bane</t>
  </si>
  <si>
    <t>Fatigued</t>
  </si>
  <si>
    <t>Water you Doing???</t>
  </si>
  <si>
    <t>Quando não em contato com o chão, sofre desvantagem-2 na rolagem de iniciativa.</t>
  </si>
  <si>
    <t>Lv1: Dis-1 on all non-attack rolls. Lv2: half speed. Lv3: Dis-1 on all attack rolls. Guard &amp; Dodge = 0 (unless they were negative)</t>
  </si>
  <si>
    <t>Knockdown</t>
  </si>
  <si>
    <t>Might vs. DC</t>
  </si>
  <si>
    <t>Dis-1 on all attacks. +2 Guard vs. Ranged attacks. -2 Guard vs. Melee attacks. DC = (Might do alvo)*2 + (Tamanho do alvo)</t>
  </si>
  <si>
    <t>(+2 Skill Pts)</t>
  </si>
  <si>
    <t>Kentochi</t>
  </si>
  <si>
    <t xml:space="preserve">1 </t>
  </si>
  <si>
    <t>Draconic</t>
  </si>
  <si>
    <t>EB: Earth Strike I</t>
  </si>
  <si>
    <t>Alteration</t>
  </si>
  <si>
    <t>Giaint</t>
  </si>
  <si>
    <t>4 Mana</t>
  </si>
  <si>
    <t>Ficar parado 1 turno te deixa tornar um ataque um Earth Strike. Quando usando um Earth Strike, o chão treme na área 2x2 acertada até o final do seu próximo turno. você escolhe se os tremores:
        1. Causam dano extra com seu Alteration (o alvo original do ataque toma metade do dano bonus e metade do dano original do ataque)
        2. Afligir Knockdown automático em todas as criaturas com tamanho menor que o seu (criaturas de tamanho &gt;= rolam resistência pra ver se caem ou não). Para levantar enquanto os tremores persistem, a criatura deve rolar Might e superar um CR = (seu_tamanho - 5)+2*(seu_might)</t>
  </si>
  <si>
    <t>No final do turno, se você está em contato com a terra e não se moveu desde o início do turno, recupere Mana &amp; Stamina igual a seu Will. Você pode gastar uma Major Action pra aumentar isso para uma rolagem de "dano" com Will.</t>
  </si>
  <si>
    <t>Remove all levels on long rest (see rules for short rest)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</si>
</sst>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3" fillId="3" borderId="50" xfId="2" applyFont="1" applyBorder="1" applyAlignment="1">
      <alignment horizontal="center" vertical="center"/>
    </xf>
    <xf numFmtId="0" fontId="33" fillId="3" borderId="51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7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8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6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4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4" displayName="Table34" ref="T10:T12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abSelected="1" topLeftCell="B1" zoomScale="85" zoomScaleNormal="85" workbookViewId="0">
      <selection activeCell="F32" sqref="F32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6.7109375" customWidth="1"/>
    <col min="9" max="9" width="62.42578125" customWidth="1"/>
    <col min="10" max="10" width="11.28515625" customWidth="1"/>
    <col min="11" max="11" width="11.71093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1.42578125" bestFit="1" customWidth="1"/>
    <col min="17" max="17" width="15.7109375" customWidth="1"/>
    <col min="18" max="18" width="47.28515625" customWidth="1"/>
    <col min="19" max="19" width="12.140625" customWidth="1"/>
    <col min="20" max="20" width="11.28515625" bestFit="1" customWidth="1"/>
    <col min="21" max="21" width="18.42578125" customWidth="1"/>
    <col min="22" max="22" width="9.140625" customWidth="1"/>
  </cols>
  <sheetData>
    <row r="1" spans="1:24" ht="15.75" thickBot="1" x14ac:dyDescent="0.3"/>
    <row r="2" spans="1:24" ht="15" customHeight="1" thickTop="1" thickBot="1" x14ac:dyDescent="0.3">
      <c r="A2" s="13"/>
      <c r="B2" s="155" t="str">
        <f>IF(L24 = 0,"Attributes","Atributos")</f>
        <v>Attributes</v>
      </c>
      <c r="C2" s="156"/>
      <c r="D2" s="156"/>
      <c r="E2" s="156"/>
      <c r="F2" s="157"/>
      <c r="H2" s="45" t="str">
        <f>IF(L24 = 0, "Name:", "Nome:")</f>
        <v>Name:</v>
      </c>
      <c r="I2" s="52" t="s">
        <v>31</v>
      </c>
      <c r="K2" s="82" t="s">
        <v>2</v>
      </c>
      <c r="L2" s="78">
        <v>0</v>
      </c>
      <c r="M2" s="78"/>
      <c r="N2" s="79"/>
      <c r="P2" s="86" t="str">
        <f>IF(L24=0,"Inventory", "Inventário")</f>
        <v>Inventory</v>
      </c>
      <c r="Q2" s="86"/>
      <c r="R2" s="86"/>
      <c r="T2" s="101" t="str">
        <f>IF(L24=0, "Movement", "Movimento")</f>
        <v>Movement</v>
      </c>
      <c r="U2" s="102"/>
      <c r="V2" s="103"/>
    </row>
    <row r="3" spans="1:24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83"/>
      <c r="L3" s="80"/>
      <c r="M3" s="80"/>
      <c r="N3" s="81"/>
      <c r="O3" s="2"/>
      <c r="P3" s="86"/>
      <c r="Q3" s="86"/>
      <c r="R3" s="86"/>
      <c r="T3" s="54" t="str">
        <f>IF(L24=0, "Normal", "Normal")</f>
        <v>Normal</v>
      </c>
      <c r="U3" s="63">
        <f>IF(L29 &gt; 7, 7, IF(L29 &lt; 4, 5, 6))</f>
        <v>6</v>
      </c>
      <c r="V3" s="64" t="str">
        <f>($U3 *1.5) &amp; "m"</f>
        <v>9m</v>
      </c>
    </row>
    <row r="4" spans="1:24" ht="15" customHeight="1" thickBot="1" x14ac:dyDescent="0.3">
      <c r="A4" s="13"/>
      <c r="B4" s="114" t="str">
        <f>IF(L24 = 0,"Physical","Físicos")</f>
        <v>Physical</v>
      </c>
      <c r="C4" s="115"/>
      <c r="D4" s="115"/>
      <c r="E4" s="115"/>
      <c r="F4" s="116"/>
      <c r="K4" s="82" t="s">
        <v>1</v>
      </c>
      <c r="L4" s="78">
        <v>1</v>
      </c>
      <c r="M4" s="78"/>
      <c r="N4" s="79"/>
      <c r="P4" s="46" t="s">
        <v>4</v>
      </c>
      <c r="Q4" s="46" t="str">
        <f>IF(L24 = 0, "Item", "Item")</f>
        <v>Item</v>
      </c>
      <c r="R4" s="46" t="str">
        <f>IF(L24 = 0, "Description", "Descrição")</f>
        <v>Description</v>
      </c>
      <c r="T4" s="55" t="str">
        <f>IF(L24=0, "Difficult", "Difícil")</f>
        <v>Difficult</v>
      </c>
      <c r="U4" s="65">
        <f>IF(L29 &gt; 7, 3, IF(L29 &lt; 4, 5, 4))</f>
        <v>4</v>
      </c>
      <c r="V4" s="56" t="str">
        <f>($U4 *1.5) &amp; "m"</f>
        <v>6m</v>
      </c>
    </row>
    <row r="5" spans="1:24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83"/>
      <c r="L5" s="80"/>
      <c r="M5" s="80"/>
      <c r="N5" s="81"/>
      <c r="P5" s="47"/>
      <c r="Q5" s="47"/>
      <c r="R5" s="48"/>
    </row>
    <row r="6" spans="1:24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6</v>
      </c>
      <c r="D6" s="4">
        <v>3</v>
      </c>
      <c r="E6" s="4"/>
      <c r="F6" s="17" t="str">
        <f t="shared" si="0"/>
        <v>1d8</v>
      </c>
      <c r="L6" s="1"/>
      <c r="M6" s="1"/>
      <c r="N6" s="1"/>
      <c r="P6" s="47"/>
      <c r="Q6" s="47"/>
      <c r="R6" s="48"/>
      <c r="T6" s="68" t="s">
        <v>8</v>
      </c>
      <c r="U6" s="70">
        <f>8 + L14 + N14</f>
        <v>5</v>
      </c>
    </row>
    <row r="7" spans="1:24" ht="15" customHeight="1" thickBot="1" x14ac:dyDescent="0.3">
      <c r="A7" s="13"/>
      <c r="B7" s="18" t="str">
        <f>IF(L24 = 0,"Might","Força")</f>
        <v>Might</v>
      </c>
      <c r="C7" s="3">
        <f t="shared" si="1"/>
        <v>15</v>
      </c>
      <c r="D7" s="5">
        <v>5</v>
      </c>
      <c r="E7" s="5"/>
      <c r="F7" s="19" t="str">
        <f t="shared" si="0"/>
        <v>2d6</v>
      </c>
      <c r="K7" s="84" t="s">
        <v>3</v>
      </c>
      <c r="L7" s="87">
        <v>32</v>
      </c>
      <c r="M7" s="89" t="s">
        <v>0</v>
      </c>
      <c r="N7" s="91">
        <f>8+2*(D6+E6)+2*(D16+E16)+D12+E12+_xlfn.FLOOR.MATH(1.5*(D7+E7))+2*L4</f>
        <v>32</v>
      </c>
      <c r="P7" s="47"/>
      <c r="Q7" s="47"/>
      <c r="R7" s="48"/>
      <c r="T7" s="69"/>
      <c r="U7" s="71"/>
    </row>
    <row r="8" spans="1:24" ht="15" customHeight="1" thickBot="1" x14ac:dyDescent="0.3">
      <c r="A8" s="13"/>
      <c r="B8" s="111" t="str">
        <f>IF(L24 = 0,"Mental","Mentais")</f>
        <v>Mental</v>
      </c>
      <c r="C8" s="112"/>
      <c r="D8" s="112"/>
      <c r="E8" s="112"/>
      <c r="F8" s="113"/>
      <c r="K8" s="85"/>
      <c r="L8" s="88"/>
      <c r="M8" s="90"/>
      <c r="N8" s="92"/>
      <c r="P8" s="47"/>
      <c r="R8" s="48"/>
    </row>
    <row r="9" spans="1:24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3</v>
      </c>
      <c r="D9" s="8">
        <v>2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1d6</v>
      </c>
      <c r="K9" s="136" t="s">
        <v>9</v>
      </c>
      <c r="L9" s="168">
        <v>25</v>
      </c>
      <c r="M9" s="93" t="s">
        <v>0</v>
      </c>
      <c r="N9" s="95">
        <f xml:space="preserve"> _xlfn.CEILING.MATH(10 + 3*(D9 + E9) + 1.5*(D12 + E12) + 2*(D10 + E10) + 1.5*MAX(D18+E18, D19+E19, D20+E20, D21+E21, D22+E22, D23+E23, D24+E24, D25+E25)) + 2*L4</f>
        <v>25</v>
      </c>
      <c r="Q9" s="47"/>
      <c r="T9" s="66" t="str">
        <f>IF($L$24=0, "Languages", "Línguas")</f>
        <v>Languages</v>
      </c>
    </row>
    <row r="10" spans="1:24" ht="15" customHeight="1" thickBot="1" x14ac:dyDescent="0.3">
      <c r="A10" s="13"/>
      <c r="B10" s="22" t="str">
        <f>IF(L24 = 0,"Logic","Lógica")</f>
        <v>Logic</v>
      </c>
      <c r="C10" s="9">
        <f t="shared" si="2"/>
        <v>1</v>
      </c>
      <c r="D10" s="9">
        <v>1</v>
      </c>
      <c r="E10" s="9"/>
      <c r="F10" s="23" t="str">
        <f t="shared" si="3"/>
        <v>1d4</v>
      </c>
      <c r="K10" s="137"/>
      <c r="L10" s="169"/>
      <c r="M10" s="94"/>
      <c r="N10" s="96"/>
      <c r="P10" s="47"/>
      <c r="R10" s="48"/>
      <c r="T10" s="67" t="str">
        <f>IF(L24=0, "Common", "Comum")</f>
        <v>Common</v>
      </c>
    </row>
    <row r="11" spans="1:24" ht="15" customHeight="1" thickBot="1" x14ac:dyDescent="0.3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Q11" s="47"/>
      <c r="T11" s="67" t="s">
        <v>33</v>
      </c>
    </row>
    <row r="12" spans="1:24" ht="15" customHeight="1" thickBot="1" x14ac:dyDescent="0.3">
      <c r="A12" s="13"/>
      <c r="B12" s="22" t="str">
        <f>IF(L24 = 0,"Will","Vontade")</f>
        <v>Will</v>
      </c>
      <c r="C12" s="9">
        <f t="shared" si="2"/>
        <v>6</v>
      </c>
      <c r="D12" s="9">
        <v>3</v>
      </c>
      <c r="E12" s="9"/>
      <c r="F12" s="23" t="str">
        <f t="shared" si="3"/>
        <v>1d8</v>
      </c>
      <c r="K12" s="138" t="str">
        <f>IF(L24 = 0, "GUARD", "GUARD")</f>
        <v>GUARD</v>
      </c>
      <c r="L12" s="140">
        <f>IF(OR(1.5*(D7) &lt; D5, IFERROR(_xlfn.NUMBERVALUE(L29), 0) = 0), 0, _xlfn.FLOOR.MATH(0.75*(D7 + E7) + 0.5*(D6 + E6) + 0.5*(D25 + E25) + (L29-5)))</f>
        <v>7</v>
      </c>
      <c r="M12" s="140" t="str">
        <f>IF(N12 &gt; 0, "+", "")</f>
        <v/>
      </c>
      <c r="N12" s="166"/>
      <c r="P12" s="47"/>
      <c r="R12" s="48"/>
      <c r="T12" s="67" t="s">
        <v>36</v>
      </c>
    </row>
    <row r="13" spans="1:24" ht="15" customHeight="1" x14ac:dyDescent="0.25">
      <c r="A13" s="13"/>
      <c r="B13" s="108" t="str">
        <f>IF(L24 = 0,"Social","Sociais")</f>
        <v>Social</v>
      </c>
      <c r="C13" s="109"/>
      <c r="D13" s="109"/>
      <c r="E13" s="109"/>
      <c r="F13" s="110"/>
      <c r="K13" s="139"/>
      <c r="L13" s="141"/>
      <c r="M13" s="141"/>
      <c r="N13" s="167"/>
      <c r="Q13" s="47"/>
      <c r="S13" s="48"/>
      <c r="T13" s="48"/>
      <c r="U13" s="48"/>
      <c r="V13" s="48"/>
      <c r="W13" s="48"/>
      <c r="X13" s="48"/>
    </row>
    <row r="14" spans="1:24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180" t="str">
        <f>IF(L24 = 0, "DODGE", "EVASÃO")</f>
        <v>DODGE</v>
      </c>
      <c r="L14" s="172">
        <f>IF(AND(D7&gt;1.5*(D5), ROUND(0.75*(D5 + E5) + 0.5*(D11 + E11)+ 0.75*(D14 + E14) - 0.5*(D7 + E7) - 0.5*(L29 - 5), 0) &gt; 0), 0, ROUND(0.75*(D5 + E5) + 0.5*(D11 + E11)+ 0.75*(D14 + E14)  - 0.5*(D7 + E7) - 0.5*(L29 - 5), 0))</f>
        <v>-3</v>
      </c>
      <c r="M14" s="172" t="str">
        <f>IF(N14 &gt; 0, "+", "")</f>
        <v/>
      </c>
      <c r="N14" s="170"/>
      <c r="P14" s="47"/>
      <c r="R14" s="48"/>
      <c r="S14" s="48"/>
      <c r="T14" s="48"/>
      <c r="U14" s="48"/>
      <c r="V14" s="48"/>
      <c r="W14" s="48"/>
      <c r="X14" s="48"/>
    </row>
    <row r="15" spans="1:24" ht="15" customHeight="1" thickBot="1" x14ac:dyDescent="0.3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181"/>
      <c r="L15" s="173"/>
      <c r="M15" s="173"/>
      <c r="N15" s="171"/>
      <c r="Q15" s="47"/>
      <c r="S15" s="48"/>
      <c r="T15" s="48"/>
      <c r="U15" s="48"/>
      <c r="V15" s="48"/>
      <c r="W15" s="48"/>
      <c r="X15" s="48"/>
    </row>
    <row r="16" spans="1:24" ht="15" customHeight="1" thickBot="1" x14ac:dyDescent="0.3">
      <c r="A16" s="13"/>
      <c r="B16" s="28" t="str">
        <f>IF(L24 = 0,"Presence","Presença")</f>
        <v>Presence</v>
      </c>
      <c r="C16" s="11">
        <f t="shared" si="4"/>
        <v>6</v>
      </c>
      <c r="D16" s="11">
        <v>3</v>
      </c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1d8</v>
      </c>
      <c r="P16" s="47"/>
      <c r="R16" s="48"/>
      <c r="S16" s="48"/>
      <c r="T16" s="48"/>
      <c r="U16" s="48"/>
      <c r="V16" s="48"/>
      <c r="W16" s="48"/>
      <c r="X16" s="48"/>
    </row>
    <row r="17" spans="1:24" ht="15" customHeight="1" x14ac:dyDescent="0.25">
      <c r="A17" s="13"/>
      <c r="B17" s="105" t="str">
        <f>IF(L24 = 0,"Extraordinary","Extraordinários")</f>
        <v>Extraordinary</v>
      </c>
      <c r="C17" s="106"/>
      <c r="D17" s="106"/>
      <c r="E17" s="106"/>
      <c r="F17" s="107"/>
      <c r="K17" s="97" t="str">
        <f>IF(L24 = 0, "Skill Points", "Pontos de Habilidade")</f>
        <v>Skill Points</v>
      </c>
      <c r="L17" s="98"/>
      <c r="M17" s="98"/>
      <c r="N17" s="76">
        <v>0</v>
      </c>
      <c r="Q17" s="47"/>
      <c r="S17" s="48"/>
      <c r="T17" s="48"/>
      <c r="U17" s="48"/>
      <c r="V17" s="48"/>
      <c r="W17" s="48"/>
      <c r="X17" s="48"/>
    </row>
    <row r="18" spans="1:24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99"/>
      <c r="L18" s="100"/>
      <c r="M18" s="100"/>
      <c r="N18" s="77"/>
      <c r="P18" s="47"/>
      <c r="R18" s="48"/>
      <c r="S18" s="48"/>
      <c r="T18" s="48"/>
      <c r="U18" s="48"/>
      <c r="V18" s="48"/>
      <c r="W18" s="48"/>
      <c r="X18" s="48"/>
    </row>
    <row r="19" spans="1:24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176" t="str">
        <f>IF(L24= 0, "Attribute Points", "Pontos de Atributo")</f>
        <v>Attribute Points</v>
      </c>
      <c r="L19" s="177"/>
      <c r="M19" s="177"/>
      <c r="N19" s="174">
        <v>0</v>
      </c>
      <c r="Q19" s="47"/>
      <c r="S19" s="48"/>
      <c r="T19" s="48"/>
      <c r="U19" s="48"/>
      <c r="V19" s="48"/>
      <c r="W19" s="48"/>
      <c r="X19" s="48"/>
    </row>
    <row r="20" spans="1:24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178"/>
      <c r="L20" s="179"/>
      <c r="M20" s="179"/>
      <c r="N20" s="175"/>
      <c r="P20" s="47"/>
      <c r="R20" s="48"/>
      <c r="S20" s="48"/>
      <c r="T20" s="48"/>
      <c r="U20" s="48"/>
      <c r="V20" s="48"/>
      <c r="W20" s="48"/>
      <c r="X20" s="48"/>
    </row>
    <row r="21" spans="1:24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72" t="str">
        <f>IF(L24 = 0, "Feat Points", "Pontos de Perícia")</f>
        <v>Feat Points</v>
      </c>
      <c r="L21" s="73"/>
      <c r="M21" s="73"/>
      <c r="N21" s="182">
        <v>1</v>
      </c>
      <c r="Q21" s="47"/>
      <c r="S21" s="48"/>
      <c r="T21" s="48"/>
      <c r="U21" s="48"/>
      <c r="V21" s="48"/>
      <c r="W21" s="48"/>
      <c r="X21" s="48"/>
    </row>
    <row r="22" spans="1:24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74"/>
      <c r="L22" s="75"/>
      <c r="M22" s="75"/>
      <c r="N22" s="183"/>
      <c r="P22" s="47"/>
      <c r="R22" s="48"/>
      <c r="S22" s="48"/>
      <c r="T22" s="48"/>
      <c r="U22" s="48"/>
      <c r="V22" s="48"/>
      <c r="W22" s="48"/>
      <c r="X22" s="48"/>
    </row>
    <row r="23" spans="1:24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Q23" s="47"/>
      <c r="S23" s="48"/>
      <c r="T23" s="48"/>
      <c r="U23" s="48"/>
      <c r="V23" s="48"/>
      <c r="W23" s="48"/>
      <c r="X23" s="48"/>
    </row>
    <row r="24" spans="1:24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20" t="str">
        <f>IF(L24 = 0, "Language:", "Língua:")</f>
        <v>Language:</v>
      </c>
      <c r="L24" s="158">
        <v>0</v>
      </c>
      <c r="M24" s="158"/>
      <c r="N24" s="159"/>
      <c r="P24" s="47"/>
      <c r="R24" s="48"/>
      <c r="S24" s="48"/>
      <c r="T24" s="48"/>
      <c r="U24" s="48"/>
      <c r="V24" s="48"/>
      <c r="W24" s="48"/>
      <c r="X24" s="48"/>
    </row>
    <row r="25" spans="1:24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21"/>
      <c r="L25" s="160"/>
      <c r="M25" s="160"/>
      <c r="N25" s="161"/>
      <c r="Q25" s="47"/>
      <c r="S25" s="48"/>
      <c r="T25" s="48"/>
      <c r="U25" s="48"/>
      <c r="V25" s="48"/>
      <c r="W25" s="48"/>
      <c r="X25" s="48"/>
    </row>
    <row r="26" spans="1:24" ht="16.5" thickTop="1" thickBot="1" x14ac:dyDescent="0.3">
      <c r="K26" s="40">
        <v>0</v>
      </c>
      <c r="L26" s="164" t="str">
        <f>IF(L24 = 0,"English","Inglês")</f>
        <v>English</v>
      </c>
      <c r="M26" s="164"/>
      <c r="N26" s="165"/>
      <c r="P26" s="47"/>
      <c r="R26" s="48"/>
      <c r="S26" s="48"/>
      <c r="T26" s="48"/>
      <c r="U26" s="48"/>
      <c r="V26" s="48"/>
      <c r="W26" s="48"/>
      <c r="X26" s="48"/>
    </row>
    <row r="27" spans="1:24" ht="15.75" thickBot="1" x14ac:dyDescent="0.3">
      <c r="B27" s="122" t="str">
        <f>IF(L24 = 0, "Defense Calculation", "Cálculo de Defesa")</f>
        <v>Defense Calculation</v>
      </c>
      <c r="C27" s="123"/>
      <c r="D27" s="123"/>
      <c r="E27" s="123"/>
      <c r="F27" s="124"/>
      <c r="K27" s="41">
        <v>1</v>
      </c>
      <c r="L27" s="162" t="str">
        <f>IF(L24 = 0,"Portuguese","Português")</f>
        <v>Portuguese</v>
      </c>
      <c r="M27" s="162"/>
      <c r="N27" s="163"/>
      <c r="S27" s="48"/>
      <c r="T27" s="48"/>
      <c r="U27" s="48"/>
      <c r="V27" s="48"/>
      <c r="W27" s="48"/>
    </row>
    <row r="28" spans="1:24" ht="15.75" thickBot="1" x14ac:dyDescent="0.3">
      <c r="B28" s="125" t="str">
        <f>IF(L24 = 0, "Pre-Defense", "Antes da Defesa")</f>
        <v>Pre-Defense</v>
      </c>
      <c r="C28" s="126"/>
      <c r="D28" s="133" t="str">
        <f>IF(L24 = 0, "Post-Defense", "Pós-Defesa")</f>
        <v>Post-Defense</v>
      </c>
      <c r="E28" s="134"/>
      <c r="F28" s="135"/>
      <c r="R28" s="48"/>
      <c r="S28" s="48"/>
      <c r="T28" s="48"/>
      <c r="U28" s="48"/>
      <c r="V28" s="48"/>
      <c r="W28" s="48"/>
    </row>
    <row r="29" spans="1:24" ht="15.75" thickBot="1" x14ac:dyDescent="0.3">
      <c r="B29" s="127"/>
      <c r="C29" s="128"/>
      <c r="D29" s="128" t="str">
        <f>IF(B29 = "", "", IF(L14+N14 &lt; 0, B29 - (L12+N12), IF(ROUNDDOWN(B29 * 15/(L14+N14+15) - (L12+N12), 0) &gt;= 0, ROUNDDOWN(B29 * 15/(L14+N14+15) - (L12+N12), 0), 0)))</f>
        <v/>
      </c>
      <c r="E29" s="128"/>
      <c r="F29" s="131"/>
      <c r="K29" s="42" t="str">
        <f>IF(L24 = 0, "Size:", "Tamanho:")</f>
        <v>Size:</v>
      </c>
      <c r="L29" s="117">
        <v>7</v>
      </c>
      <c r="M29" s="118"/>
      <c r="N29" s="119"/>
      <c r="S29" s="48"/>
      <c r="T29" s="48"/>
      <c r="U29" s="48"/>
      <c r="V29" s="48"/>
      <c r="W29" s="48"/>
    </row>
    <row r="30" spans="1:24" ht="15.75" customHeight="1" thickBot="1" x14ac:dyDescent="0.3">
      <c r="B30" s="129"/>
      <c r="C30" s="130"/>
      <c r="D30" s="130"/>
      <c r="E30" s="130"/>
      <c r="F30" s="132"/>
      <c r="R30" s="48"/>
      <c r="S30" s="48"/>
      <c r="T30" s="48"/>
      <c r="U30" s="48"/>
      <c r="V30" s="48"/>
      <c r="W30" s="48"/>
    </row>
    <row r="31" spans="1:24" ht="19.5" thickBot="1" x14ac:dyDescent="0.3">
      <c r="P31" s="104" t="s">
        <v>6</v>
      </c>
      <c r="Q31" s="104"/>
      <c r="R31" s="104"/>
      <c r="S31" s="104"/>
      <c r="T31" s="104"/>
      <c r="U31" s="104"/>
    </row>
    <row r="32" spans="1:24" ht="34.5" thickBot="1" x14ac:dyDescent="0.3">
      <c r="B32" s="50" t="s">
        <v>5</v>
      </c>
      <c r="C32" s="154">
        <v>24</v>
      </c>
      <c r="D32" s="154"/>
      <c r="E32" s="49" t="s">
        <v>0</v>
      </c>
      <c r="F32" s="51">
        <f xml:space="preserve"> 8 + 3*(D6+E6) + 2*(D5+E5) + D7+E7 + 2*L4</f>
        <v>24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3" t="str">
        <f>IF(L24=0,"Name","Nome")</f>
        <v>Name</v>
      </c>
      <c r="Q32" s="53" t="s">
        <v>7</v>
      </c>
      <c r="R32" s="53" t="str">
        <f>IF(L24=0,"Effect","Efeito")</f>
        <v>Effect</v>
      </c>
      <c r="S32" s="53" t="str">
        <f>IF(L24=0,"Defense","Defesa")</f>
        <v>Defense</v>
      </c>
      <c r="T32" s="58" t="s">
        <v>10</v>
      </c>
      <c r="U32" s="58" t="s">
        <v>11</v>
      </c>
    </row>
    <row r="33" spans="2:21" ht="45.75" thickBot="1" x14ac:dyDescent="0.3">
      <c r="H33" s="59" t="s">
        <v>16</v>
      </c>
      <c r="I33" s="59" t="s">
        <v>12</v>
      </c>
      <c r="J33" s="59" t="s">
        <v>13</v>
      </c>
      <c r="K33" s="59" t="s">
        <v>12</v>
      </c>
      <c r="P33" s="47" t="s">
        <v>23</v>
      </c>
      <c r="Q33" s="47" t="s">
        <v>22</v>
      </c>
      <c r="R33" s="59" t="s">
        <v>26</v>
      </c>
      <c r="S33" s="59" t="s">
        <v>12</v>
      </c>
      <c r="T33" s="60" t="s">
        <v>21</v>
      </c>
      <c r="U33" s="59" t="s">
        <v>40</v>
      </c>
    </row>
    <row r="34" spans="2:21" ht="45" x14ac:dyDescent="0.25">
      <c r="B34" s="152" t="str">
        <f>IF(L24 = 0, "HP Dice", "Dado de HP")</f>
        <v>HP Dice</v>
      </c>
      <c r="C34" s="142"/>
      <c r="D34" s="142" t="str">
        <f>IF(L24 = 0,"Fortitude","Fortitude")</f>
        <v>Fortitude</v>
      </c>
      <c r="E34" s="142"/>
      <c r="F34" s="143"/>
      <c r="H34" s="59" t="s">
        <v>17</v>
      </c>
      <c r="I34" s="59" t="s">
        <v>19</v>
      </c>
      <c r="J34" s="47" t="s">
        <v>12</v>
      </c>
      <c r="K34" s="59" t="s">
        <v>18</v>
      </c>
      <c r="P34" s="59" t="s">
        <v>27</v>
      </c>
      <c r="Q34" s="47" t="s">
        <v>22</v>
      </c>
      <c r="R34" s="57" t="s">
        <v>29</v>
      </c>
      <c r="S34" s="59" t="s">
        <v>28</v>
      </c>
      <c r="T34" s="61" t="s">
        <v>32</v>
      </c>
      <c r="U34" s="59" t="s">
        <v>12</v>
      </c>
    </row>
    <row r="35" spans="2:21" ht="30.75" thickBot="1" x14ac:dyDescent="0.3">
      <c r="B35" s="153"/>
      <c r="C35" s="144"/>
      <c r="D35" s="144"/>
      <c r="E35" s="144"/>
      <c r="F35" s="145"/>
      <c r="H35" s="59" t="s">
        <v>14</v>
      </c>
      <c r="I35" s="59" t="s">
        <v>20</v>
      </c>
      <c r="J35" s="47" t="s">
        <v>12</v>
      </c>
      <c r="K35" s="59" t="s">
        <v>12</v>
      </c>
      <c r="P35" s="59"/>
      <c r="Q35" s="47"/>
      <c r="R35" s="57"/>
      <c r="S35" s="59"/>
      <c r="T35" s="47"/>
      <c r="U35" s="59"/>
    </row>
    <row r="36" spans="2:21" ht="60" x14ac:dyDescent="0.25">
      <c r="B36" s="146" t="str">
        <f>IF(L24 = 0, "MP Dice", "Dado de MP")</f>
        <v>MP Dice</v>
      </c>
      <c r="C36" s="147"/>
      <c r="D36" s="147" t="str">
        <f t="shared" ref="D36:F36" si="9">IF(N51 = 0,"Learning","Aprendizado")</f>
        <v>Learning</v>
      </c>
      <c r="E36" s="147" t="str">
        <f t="shared" si="9"/>
        <v>Learning</v>
      </c>
      <c r="F36" s="150" t="str">
        <f t="shared" si="9"/>
        <v>Learning</v>
      </c>
      <c r="H36" s="59" t="s">
        <v>15</v>
      </c>
      <c r="I36" s="59" t="s">
        <v>39</v>
      </c>
      <c r="J36" s="47" t="s">
        <v>12</v>
      </c>
      <c r="K36" s="59" t="s">
        <v>12</v>
      </c>
      <c r="P36" s="59"/>
      <c r="Q36" s="47"/>
      <c r="R36" s="57"/>
      <c r="S36" s="59"/>
      <c r="T36" s="47"/>
      <c r="U36" s="59"/>
    </row>
    <row r="37" spans="2:21" ht="30.75" thickBot="1" x14ac:dyDescent="0.3">
      <c r="B37" s="148"/>
      <c r="C37" s="149"/>
      <c r="D37" s="149" t="str">
        <f t="shared" ref="D37:F37" si="10">IF(N52 = 0,"Learning","Aprendizado")</f>
        <v>Learning</v>
      </c>
      <c r="E37" s="149" t="str">
        <f t="shared" si="10"/>
        <v>Learning</v>
      </c>
      <c r="F37" s="151" t="str">
        <f t="shared" si="10"/>
        <v>Learning</v>
      </c>
      <c r="H37" s="59" t="s">
        <v>24</v>
      </c>
      <c r="I37" s="59" t="s">
        <v>25</v>
      </c>
      <c r="J37" s="47" t="s">
        <v>12</v>
      </c>
      <c r="K37" s="59" t="s">
        <v>30</v>
      </c>
      <c r="P37" s="62"/>
      <c r="Q37" s="47"/>
      <c r="R37" s="57"/>
      <c r="S37" s="59"/>
      <c r="T37" s="47"/>
      <c r="U37" s="59"/>
    </row>
    <row r="38" spans="2:21" ht="165" x14ac:dyDescent="0.25">
      <c r="H38" s="59" t="s">
        <v>34</v>
      </c>
      <c r="I38" s="57" t="s">
        <v>38</v>
      </c>
      <c r="J38" s="47" t="s">
        <v>35</v>
      </c>
      <c r="K38" s="59" t="s">
        <v>37</v>
      </c>
    </row>
    <row r="39" spans="2:21" x14ac:dyDescent="0.25">
      <c r="H39" s="59"/>
      <c r="K39" s="47"/>
    </row>
    <row r="40" spans="2:21" x14ac:dyDescent="0.25">
      <c r="H40" s="59"/>
      <c r="I40" s="57"/>
      <c r="J40" s="47"/>
    </row>
    <row r="41" spans="2:21" x14ac:dyDescent="0.25">
      <c r="H41" s="59"/>
      <c r="I41" s="57"/>
      <c r="J41" s="47"/>
      <c r="K41" s="47"/>
    </row>
  </sheetData>
  <mergeCells count="51"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  <mergeCell ref="D34:F35"/>
    <mergeCell ref="B36:C37"/>
    <mergeCell ref="D36:F37"/>
    <mergeCell ref="B34:C35"/>
    <mergeCell ref="C32:D32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</mergeCells>
  <pageMargins left="0.7" right="0.7" top="0.75" bottom="0.75" header="0.3" footer="0.3"/>
  <pageSetup paperSize="9" orientation="portrait" r:id="rId1"/>
  <ignoredErrors>
    <ignoredError sqref="T33" numberStoredAsText="1"/>
  </ignoredErrors>
  <drawing r:id="rId2"/>
  <legacyDrawing r:id="rId3"/>
  <controls>
    <mc:AlternateContent xmlns:mc="http://schemas.openxmlformats.org/markup-compatibility/2006">
      <mc:Choice Requires="x14">
        <control shapeId="1052" r:id="rId4" name="CommandButton1">
          <controlPr defaultSize="0" autoLine="0" r:id="rId5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4" name="CommandButton1"/>
      </mc:Fallback>
    </mc:AlternateContent>
    <mc:AlternateContent xmlns:mc="http://schemas.openxmlformats.org/markup-compatibility/2006">
      <mc:Choice Requires="x14">
        <control shapeId="1051" r:id="rId6" name="XPPlus">
          <controlPr defaultSize="0" autoLine="0" r:id="rId7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6" name="XPPlus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2019-04-07T02:21:58Z</dcterms:modified>
</cp:coreProperties>
</file>