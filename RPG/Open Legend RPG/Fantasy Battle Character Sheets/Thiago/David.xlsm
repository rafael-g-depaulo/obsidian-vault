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Thiago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N9" i="1" l="1"/>
  <c r="L12" i="1" l="1"/>
  <c r="D36" i="1"/>
  <c r="B9" i="1"/>
  <c r="B12" i="1"/>
  <c r="T9" i="1" l="1"/>
  <c r="D29" i="1" l="1"/>
  <c r="S32" i="1" l="1"/>
  <c r="R32" i="1"/>
  <c r="P32" i="1"/>
  <c r="C5" i="1" l="1"/>
  <c r="F32" i="1" l="1"/>
  <c r="N7" i="1"/>
  <c r="U4" i="1"/>
  <c r="V4" i="1" s="1"/>
  <c r="U3" i="1"/>
  <c r="V3" i="1" s="1"/>
  <c r="T4" i="1"/>
  <c r="T3" i="1"/>
  <c r="T2" i="1"/>
  <c r="K32" i="1" l="1"/>
  <c r="H32" i="1"/>
  <c r="U6" i="1" l="1"/>
  <c r="B13" i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F37" i="1" l="1"/>
  <c r="E37" i="1"/>
  <c r="D37" i="1"/>
  <c r="F36" i="1"/>
  <c r="E36" i="1"/>
  <c r="B34" i="1" l="1"/>
  <c r="D34" i="1" l="1"/>
  <c r="B6" i="1"/>
  <c r="B36" i="1"/>
  <c r="B27" i="1"/>
  <c r="M14" i="1" l="1"/>
  <c r="M12" i="1"/>
  <c r="C3" i="1" l="1"/>
  <c r="D3" i="1"/>
  <c r="E3" i="1"/>
  <c r="B24" i="1" l="1"/>
  <c r="B23" i="1"/>
  <c r="B18" i="1"/>
  <c r="B20" i="1"/>
  <c r="J32" i="1"/>
  <c r="Q4" i="1" l="1"/>
  <c r="R4" i="1"/>
  <c r="P2" i="1"/>
  <c r="I3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<sst xmlns="http://schemas.openxmlformats.org/spreadsheetml/2006/main" count="91" uniqueCount="75">
  <si>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</si>
  <si>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</si>
  <si>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</si>
  <si>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</si>
  <si>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</si>
  <si>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</si>
  <si>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</si>
  <si>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</si>
  <si>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</si>
  <si>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</si>
  <si>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Power Level</t>
  </si>
  <si>
    <t>Duration</t>
  </si>
  <si>
    <t>Attribute Substituition II</t>
  </si>
  <si>
    <t>Energy for Alteration</t>
  </si>
  <si>
    <t>Name</t>
  </si>
  <si>
    <t>Spell Name</t>
  </si>
  <si>
    <t>Mana Modifier</t>
  </si>
  <si>
    <t>Main Effect</t>
  </si>
  <si>
    <t>Secondary Effect</t>
  </si>
  <si>
    <t>Effect</t>
  </si>
  <si>
    <t>Ild</t>
  </si>
  <si>
    <t>Blixt</t>
  </si>
  <si>
    <t>Vatten</t>
  </si>
  <si>
    <t>-Sjal</t>
  </si>
  <si>
    <t>Giant</t>
  </si>
  <si>
    <t>Spell Modifiers</t>
  </si>
  <si>
    <t>Restrictions</t>
  </si>
  <si>
    <t>Range</t>
  </si>
  <si>
    <t>Pode ser usado com os prefixos: "Ild"</t>
  </si>
  <si>
    <t>-</t>
  </si>
  <si>
    <t>Mana Cost</t>
  </si>
  <si>
    <t>Comum</t>
  </si>
  <si>
    <t>Gigante Antigo</t>
  </si>
  <si>
    <t>Simple Spells</t>
  </si>
  <si>
    <t>Efir</t>
  </si>
  <si>
    <t>Aes</t>
  </si>
  <si>
    <t>Thendur</t>
  </si>
  <si>
    <t>Dano com Energy</t>
  </si>
  <si>
    <t>Aplica Forced Move com PL = (Atk Roll) - (AC) - (Might Inimiga)</t>
  </si>
  <si>
    <t>5(7,5m)</t>
  </si>
  <si>
    <t>7(12m)</t>
  </si>
  <si>
    <t xml:space="preserve">Aplica Immobile se (Atk Roll) &gt;= (AC) + 2*(Fortitude Inimiga) </t>
  </si>
  <si>
    <t>Dano com Alteration</t>
  </si>
  <si>
    <t>Aumenta o Attb do dano em +1</t>
  </si>
  <si>
    <t>A forma do feitiço vira um cone de tamanho 5(7,5m)</t>
  </si>
  <si>
    <t>Restrição</t>
  </si>
  <si>
    <t>+3</t>
  </si>
  <si>
    <t>não pode ser usado com "-Sjal"</t>
  </si>
  <si>
    <t>Forced Move</t>
  </si>
  <si>
    <t>Bane</t>
  </si>
  <si>
    <t>target is moved up to 1,5m(1 square) times the Power Level divided by 2</t>
  </si>
  <si>
    <t>2/4/6/8</t>
  </si>
  <si>
    <t>Instant</t>
  </si>
  <si>
    <t xml:space="preserve">Aplica Burn com PL = (Atk Roll) - (AC) - (Fortitude Inimiga) </t>
  </si>
  <si>
    <t>Burn</t>
  </si>
  <si>
    <t>2 turns</t>
  </si>
  <si>
    <t xml:space="preserve">Immobile  </t>
  </si>
  <si>
    <t>Alteration vs. Fortitude</t>
  </si>
  <si>
    <t>Energy vs. Fortitude</t>
  </si>
  <si>
    <t>Energy vs. Fort</t>
  </si>
  <si>
    <t>1+</t>
  </si>
  <si>
    <t>Target is immobile. When resisted, the target can move 3 (4,5m) as a free action.</t>
  </si>
  <si>
    <t>Resist Ends</t>
  </si>
  <si>
    <t>Deal (1d4/1d6/1d8/1d10) damage at the start of the characters turn for 2 turns, or until resisted</t>
  </si>
  <si>
    <t>2 (4)</t>
  </si>
  <si>
    <t>4 (7), 3 (5) p/ turno</t>
  </si>
  <si>
    <t>+4</t>
  </si>
  <si>
    <t>Stor-</t>
  </si>
  <si>
    <t>-Bolg</t>
  </si>
  <si>
    <t>David</t>
  </si>
  <si>
    <t>"Ild-": Alvo toma dano com Energy-3 (ignora defesas) no início de cada turno. O Alvo pode tentar resistir, e rolar Will com uma CR = (seu Energy) + 2*(seu Learning). "Blixt-": Alvo toma dano com Energy-4 (ignora defesas) e toma immobile(3) no inicio do seu turno (pode tentar resistir com uma ação livre). Alvo pode tentar resistir o feitiço, e rolar Will (CR= (seu Energy) + 2*(seu Learning))</t>
  </si>
  <si>
    <t>"Ild-": O alvo da dano de fogo adicional com ataques físicos com seu Energy-2. "Blixt-": O alvo da dano elétrico adicional com ataques físicos com seu Energy-2</t>
  </si>
  <si>
    <t>Élfico*</t>
  </si>
  <si>
    <t>Elemental*</t>
  </si>
  <si>
    <t>Arcano*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</si>
</sst>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  <xf numFmtId="0" fontId="5" fillId="35" borderId="0" applyNumberFormat="0" applyBorder="0" applyAlignment="0" applyProtection="0"/>
    <xf numFmtId="0" fontId="5" fillId="36" borderId="0" applyNumberFormat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0" fillId="0" borderId="0" xfId="0" applyAlignment="1"/>
    <xf numFmtId="0" fontId="23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3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3" fillId="3" borderId="50" xfId="2" applyFont="1" applyBorder="1" applyAlignment="1">
      <alignment horizontal="center" vertical="center"/>
    </xf>
    <xf numFmtId="0" fontId="33" fillId="3" borderId="9" xfId="2" applyFont="1" applyBorder="1" applyAlignment="1">
      <alignment horizontal="center" vertical="center"/>
    </xf>
    <xf numFmtId="0" fontId="0" fillId="0" borderId="9" xfId="0" applyBorder="1"/>
    <xf numFmtId="0" fontId="33" fillId="3" borderId="51" xfId="2" applyFont="1" applyBorder="1" applyAlignment="1">
      <alignment horizontal="center" vertical="center"/>
    </xf>
    <xf numFmtId="0" fontId="0" fillId="34" borderId="0" xfId="0" applyFill="1" applyAlignment="1">
      <alignment horizontal="center"/>
    </xf>
    <xf numFmtId="0" fontId="7" fillId="33" borderId="0" xfId="0" applyFont="1" applyFill="1" applyAlignment="1">
      <alignment horizontal="center" vertical="center"/>
    </xf>
    <xf numFmtId="0" fontId="0" fillId="22" borderId="9" xfId="21" applyFont="1" applyBorder="1" applyAlignment="1">
      <alignment horizontal="center"/>
    </xf>
    <xf numFmtId="0" fontId="5" fillId="36" borderId="0" xfId="26" applyAlignment="1">
      <alignment horizontal="center" vertical="center"/>
    </xf>
    <xf numFmtId="0" fontId="5" fillId="36" borderId="0" xfId="26" applyAlignment="1">
      <alignment horizontal="left" vertical="center"/>
    </xf>
    <xf numFmtId="0" fontId="5" fillId="36" borderId="0" xfId="26" applyBorder="1" applyAlignment="1">
      <alignment horizontal="left" vertical="center"/>
    </xf>
    <xf numFmtId="0" fontId="5" fillId="35" borderId="0" xfId="25" applyAlignment="1">
      <alignment horizontal="center" vertical="center"/>
    </xf>
    <xf numFmtId="0" fontId="5" fillId="35" borderId="0" xfId="25" applyAlignment="1">
      <alignment horizontal="left" vertical="center"/>
    </xf>
    <xf numFmtId="0" fontId="0" fillId="0" borderId="0" xfId="0" quotePrefix="1"/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30" fillId="23" borderId="4" xfId="1" applyFont="1" applyFill="1" applyBorder="1" applyAlignment="1">
      <alignment horizontal="center" vertical="center"/>
    </xf>
    <xf numFmtId="0" fontId="30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0" xfId="1" applyFont="1" applyBorder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30" fillId="23" borderId="5" xfId="1" applyFont="1" applyFill="1" applyBorder="1" applyAlignment="1">
      <alignment horizontal="center" vertical="center"/>
    </xf>
    <xf numFmtId="0" fontId="30" fillId="23" borderId="10" xfId="1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Border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5" fillId="6" borderId="0" xfId="5" applyFont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2" fillId="23" borderId="3" xfId="1" applyFont="1" applyFill="1" applyBorder="1" applyAlignment="1">
      <alignment horizontal="center" vertical="center"/>
    </xf>
    <xf numFmtId="0" fontId="32" fillId="23" borderId="8" xfId="1" applyFont="1" applyFill="1" applyBorder="1" applyAlignment="1">
      <alignment horizontal="center" vertical="center"/>
    </xf>
    <xf numFmtId="0" fontId="5" fillId="9" borderId="0" xfId="8" applyAlignment="1">
      <alignment horizontal="center" vertical="center"/>
    </xf>
    <xf numFmtId="0" fontId="5" fillId="14" borderId="0" xfId="13" applyAlignment="1">
      <alignment horizontal="center" vertical="center"/>
    </xf>
    <xf numFmtId="0" fontId="28" fillId="32" borderId="3" xfId="24" applyFont="1" applyBorder="1" applyAlignment="1">
      <alignment horizontal="center" vertical="center"/>
    </xf>
    <xf numFmtId="0" fontId="28" fillId="32" borderId="8" xfId="24" applyFont="1" applyBorder="1" applyAlignment="1">
      <alignment horizontal="center" vertical="center"/>
    </xf>
    <xf numFmtId="0" fontId="28" fillId="32" borderId="5" xfId="24" applyFont="1" applyBorder="1" applyAlignment="1">
      <alignment horizontal="center" vertical="center"/>
    </xf>
    <xf numFmtId="0" fontId="28" fillId="32" borderId="10" xfId="24" applyFont="1" applyBorder="1" applyAlignment="1">
      <alignment horizontal="center" vertic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1" fillId="2" borderId="3" xfId="1" applyFont="1" applyBorder="1" applyAlignment="1">
      <alignment horizontal="center" vertical="center"/>
    </xf>
    <xf numFmtId="0" fontId="31" fillId="2" borderId="8" xfId="1" applyFont="1" applyBorder="1" applyAlignment="1">
      <alignment horizontal="center" vertical="center"/>
    </xf>
    <xf numFmtId="0" fontId="26" fillId="20" borderId="0" xfId="19" applyFont="1" applyAlignment="1">
      <alignment horizontal="center" vertical="center"/>
    </xf>
    <xf numFmtId="0" fontId="29" fillId="2" borderId="4" xfId="1" applyFont="1" applyBorder="1" applyAlignment="1">
      <alignment horizontal="center" vertical="center"/>
    </xf>
    <xf numFmtId="0" fontId="29" fillId="2" borderId="9" xfId="1" applyFont="1" applyBorder="1" applyAlignment="1">
      <alignment horizontal="center" vertical="center"/>
    </xf>
    <xf numFmtId="0" fontId="31" fillId="2" borderId="4" xfId="1" applyFont="1" applyBorder="1" applyAlignment="1">
      <alignment horizontal="center" vertical="center"/>
    </xf>
    <xf numFmtId="0" fontId="31" fillId="2" borderId="9" xfId="1" applyFont="1" applyBorder="1" applyAlignment="1">
      <alignment horizontal="center" vertical="center"/>
    </xf>
    <xf numFmtId="0" fontId="29" fillId="2" borderId="5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32" fillId="23" borderId="4" xfId="1" applyFont="1" applyFill="1" applyBorder="1" applyAlignment="1">
      <alignment horizontal="center" vertical="center"/>
    </xf>
    <xf numFmtId="0" fontId="32" fillId="23" borderId="9" xfId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</cellXfs>
  <cellStyles count="27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1" xfId="23" builtinId="32"/>
    <cellStyle name="60% - Accent2" xfId="25" builtinId="36"/>
    <cellStyle name="60% - Accent3" xfId="12" builtinId="40"/>
    <cellStyle name="60% - Accent4" xfId="26" builtinId="44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Good" xfId="24" builtinId="26"/>
    <cellStyle name="Input" xfId="3" builtinId="20"/>
    <cellStyle name="Neutral" xfId="2" builtinId="28"/>
    <cellStyle name="Normal" xfId="0" builtinId="0"/>
    <cellStyle name="Note" xfId="4" builtinId="10"/>
  </cellStyles>
  <dxfs count="39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>
      <tableStyleElement type="wholeTable" dxfId="38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H33:K33" headerRowCount="0" totalsRowShown="0" headerRowDxfId="37" dataDxfId="36">
  <tableColumns count="4">
    <tableColumn id="1" name="Column1" dataDxfId="35"/>
    <tableColumn id="2" name="Column2" dataDxfId="34"/>
    <tableColumn id="3" name="Column3" dataDxfId="33"/>
    <tableColumn id="4" name="Column4" headerRowDxfId="32" dataDxfId="31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P5:R7" headerRowCount="0" totalsRowShown="0">
  <tableColumns count="3">
    <tableColumn id="1" name="Column1" dataDxfId="30"/>
    <tableColumn id="2" name="Column2" dataDxfId="29"/>
    <tableColumn id="3" name="Column3" dataDxfId="28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id="2" name="Table73" displayName="Table73" ref="P33:U35" headerRowCount="0" totalsRowShown="0" headerRowDxfId="27" dataDxfId="26">
  <tableColumns count="6">
    <tableColumn id="1" name="Column1" dataDxfId="25"/>
    <tableColumn id="2" name="Column2" dataDxfId="24"/>
    <tableColumn id="3" name="Column3" dataDxfId="23"/>
    <tableColumn id="4" name="Column4" dataDxfId="22"/>
    <tableColumn id="5" name="Column5" headerRowDxfId="21" dataDxfId="20"/>
    <tableColumn id="6" name="Column6" headerRowDxfId="19" dataDxfId="18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T10:T14" headerRowCount="0" totalsRowShown="0" headerRowDxfId="17" dataDxfId="16">
  <tableColumns count="1">
    <tableColumn id="1" name="Column1" headerRowDxfId="15" dataDxfId="14"/>
  </tableColumns>
  <tableStyleInfo name="Langugage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X3:AD7" totalsRowShown="0" headerRowDxfId="8" dataDxfId="0" headerRowCellStyle="60% - Accent4" dataCellStyle="Normal">
  <autoFilter ref="X3:AD7"/>
  <sortState ref="X4:AC9">
    <sortCondition ref="X3:X9"/>
  </sortState>
  <tableColumns count="7">
    <tableColumn id="1" name="Spell Name" dataDxfId="7" dataCellStyle="Normal"/>
    <tableColumn id="2" name="Mana Cost" dataDxfId="6" dataCellStyle="Normal"/>
    <tableColumn id="3" name="Main Effect" dataDxfId="5" dataCellStyle="Normal"/>
    <tableColumn id="4" name="Secondary Effect" dataDxfId="4" dataCellStyle="Normal"/>
    <tableColumn id="7" name="Range" dataDxfId="3" dataCellStyle="Normal"/>
    <tableColumn id="5" name="Giant" dataDxfId="2" dataCellStyle="Normal"/>
    <tableColumn id="6" name="Restrictions" dataDxfId="1" dataCellStyle="Normal"/>
  </tableColumns>
  <tableStyleInfo name="TableStyleLight5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AF3:AI5" totalsRowShown="0" headerRowDxfId="13" dataDxfId="12" headerRowCellStyle="60% - Accent2">
  <autoFilter ref="AF3:AI5"/>
  <tableColumns count="4">
    <tableColumn id="1" name="Name"/>
    <tableColumn id="2" name="Mana Modifier" dataDxfId="11"/>
    <tableColumn id="3" name="Effect" dataDxfId="10"/>
    <tableColumn id="4" name="Restrição" dataDxfId="9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31" Type="http://schemas.openxmlformats.org/officeDocument/2006/relationships/table" Target="../tables/table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Relationship Id="rId30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37"/>
  <sheetViews>
    <sheetView showGridLines="0" tabSelected="1" topLeftCell="S1" zoomScale="85" zoomScaleNormal="85" workbookViewId="0">
      <selection activeCell="Z24" sqref="Z24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3.140625" bestFit="1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2.5703125" bestFit="1" customWidth="1"/>
    <col min="17" max="17" width="15.7109375" customWidth="1"/>
    <col min="18" max="18" width="47.28515625" customWidth="1"/>
    <col min="19" max="19" width="12.140625" customWidth="1"/>
    <col min="20" max="20" width="15" bestFit="1" customWidth="1"/>
    <col min="21" max="21" width="9" customWidth="1"/>
    <col min="22" max="22" width="9.140625" customWidth="1"/>
    <col min="23" max="23" width="3.140625" customWidth="1"/>
    <col min="24" max="24" width="12.7109375" customWidth="1"/>
    <col min="25" max="25" width="12" customWidth="1"/>
    <col min="26" max="26" width="91.140625" customWidth="1"/>
    <col min="27" max="27" width="68.7109375" bestFit="1" customWidth="1"/>
    <col min="28" max="28" width="11" bestFit="1" customWidth="1"/>
    <col min="29" max="29" width="13" customWidth="1"/>
    <col min="30" max="30" width="20.85546875" customWidth="1"/>
    <col min="31" max="31" width="3.42578125" customWidth="1"/>
    <col min="32" max="32" width="16.85546875" customWidth="1"/>
    <col min="33" max="33" width="16.7109375" bestFit="1" customWidth="1"/>
    <col min="34" max="34" width="49.7109375" bestFit="1" customWidth="1"/>
    <col min="35" max="35" width="33.42578125" customWidth="1"/>
    <col min="36" max="36" width="2.85546875" customWidth="1"/>
    <col min="37" max="37" width="11.5703125" bestFit="1" customWidth="1"/>
    <col min="40" max="40" width="9.85546875" customWidth="1"/>
  </cols>
  <sheetData>
    <row r="1" spans="1:35" ht="15.75" thickBot="1" x14ac:dyDescent="0.3">
      <c r="T1" s="66"/>
      <c r="U1" s="66"/>
      <c r="V1" s="66"/>
    </row>
    <row r="2" spans="1:35" ht="15" customHeight="1" thickTop="1" thickBot="1" x14ac:dyDescent="0.3">
      <c r="A2" s="13"/>
      <c r="B2" s="77" t="str">
        <f>IF(L24 = 0,"Attributes","Atributos")</f>
        <v>Attributes</v>
      </c>
      <c r="C2" s="78"/>
      <c r="D2" s="78"/>
      <c r="E2" s="78"/>
      <c r="F2" s="79"/>
      <c r="H2" s="45" t="str">
        <f>IF(L24 = 0, "Name:", "Nome:")</f>
        <v>Name:</v>
      </c>
      <c r="I2" s="54" t="s">
        <v>69</v>
      </c>
      <c r="K2" s="182" t="s">
        <v>2</v>
      </c>
      <c r="L2" s="178">
        <v>0</v>
      </c>
      <c r="M2" s="178"/>
      <c r="N2" s="179"/>
      <c r="P2" s="186" t="str">
        <f>IF(L24=0,"Inventory", "Inventário")</f>
        <v>Inventory</v>
      </c>
      <c r="Q2" s="186"/>
      <c r="R2" s="186"/>
      <c r="T2" s="129" t="str">
        <f>IF(L24=0, "Movement", "Movimento")</f>
        <v>Movement</v>
      </c>
      <c r="U2" s="130"/>
      <c r="V2" s="131"/>
      <c r="X2" s="167" t="s">
        <v>33</v>
      </c>
      <c r="Y2" s="167"/>
      <c r="Z2" s="167"/>
      <c r="AA2" s="167"/>
      <c r="AB2" s="167"/>
      <c r="AC2" s="167"/>
      <c r="AD2" s="167"/>
      <c r="AF2" s="166" t="s">
        <v>25</v>
      </c>
      <c r="AG2" s="166"/>
      <c r="AH2" s="166"/>
      <c r="AI2" s="166"/>
    </row>
    <row r="3" spans="1:35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H3" s="46"/>
      <c r="K3" s="183"/>
      <c r="L3" s="180"/>
      <c r="M3" s="180"/>
      <c r="N3" s="181"/>
      <c r="O3" s="2"/>
      <c r="P3" s="186"/>
      <c r="Q3" s="186"/>
      <c r="R3" s="186"/>
      <c r="T3" s="56" t="str">
        <f>IF(L24=0, "Normal", "Normal")</f>
        <v>Normal</v>
      </c>
      <c r="U3" s="64">
        <f>IF(L29 &gt; 7, 7, IF(L29 &lt; 4, 5, 6))</f>
        <v>6</v>
      </c>
      <c r="V3" s="67" t="str">
        <f>($U3 *1.5) &amp; "m"</f>
        <v>9m</v>
      </c>
      <c r="X3" s="72" t="s">
        <v>15</v>
      </c>
      <c r="Y3" s="72" t="s">
        <v>30</v>
      </c>
      <c r="Z3" s="71" t="s">
        <v>17</v>
      </c>
      <c r="AA3" s="71" t="s">
        <v>18</v>
      </c>
      <c r="AB3" s="72" t="s">
        <v>27</v>
      </c>
      <c r="AC3" s="73" t="s">
        <v>24</v>
      </c>
      <c r="AD3" s="72" t="s">
        <v>26</v>
      </c>
      <c r="AF3" s="74" t="s">
        <v>14</v>
      </c>
      <c r="AG3" s="75" t="s">
        <v>16</v>
      </c>
      <c r="AH3" s="74" t="s">
        <v>19</v>
      </c>
      <c r="AI3" s="74" t="s">
        <v>45</v>
      </c>
    </row>
    <row r="4" spans="1:35" ht="15" customHeight="1" thickBot="1" x14ac:dyDescent="0.3">
      <c r="A4" s="13"/>
      <c r="B4" s="142" t="str">
        <f>IF(L24 = 0,"Physical","Físicos")</f>
        <v>Physical</v>
      </c>
      <c r="C4" s="143"/>
      <c r="D4" s="143"/>
      <c r="E4" s="143"/>
      <c r="F4" s="144"/>
      <c r="K4" s="182" t="s">
        <v>1</v>
      </c>
      <c r="L4" s="178">
        <v>1</v>
      </c>
      <c r="M4" s="178"/>
      <c r="N4" s="179"/>
      <c r="P4" s="47" t="s">
        <v>4</v>
      </c>
      <c r="Q4" s="47" t="str">
        <f>IF(L24 = 0, "Item", "Item")</f>
        <v>Item</v>
      </c>
      <c r="R4" s="47" t="str">
        <f>IF(L24 = 0, "Description", "Descrição")</f>
        <v>Description</v>
      </c>
      <c r="T4" s="57" t="str">
        <f>IF(L24=0, "Difficult", "Difícil")</f>
        <v>Difficult</v>
      </c>
      <c r="U4" s="65">
        <f>IF(L29 &gt; 7, 3, IF(L29 &lt; 4, 5, 4))</f>
        <v>4</v>
      </c>
      <c r="V4" s="58" t="str">
        <f>($U4 *1.5) &amp; "m"</f>
        <v>6m</v>
      </c>
      <c r="X4" s="61" t="s">
        <v>21</v>
      </c>
      <c r="Y4" s="61" t="s">
        <v>64</v>
      </c>
      <c r="Z4" s="61" t="s">
        <v>37</v>
      </c>
      <c r="AA4" s="61" t="s">
        <v>41</v>
      </c>
      <c r="AB4" s="61" t="s">
        <v>40</v>
      </c>
      <c r="AC4" s="61" t="s">
        <v>36</v>
      </c>
      <c r="AD4" s="61" t="s">
        <v>29</v>
      </c>
      <c r="AF4" s="76" t="s">
        <v>67</v>
      </c>
      <c r="AG4" s="63" t="s">
        <v>46</v>
      </c>
      <c r="AH4" t="s">
        <v>43</v>
      </c>
      <c r="AI4" s="1" t="s">
        <v>29</v>
      </c>
    </row>
    <row r="5" spans="1:35" ht="15.75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0</v>
      </c>
      <c r="D5" s="3"/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1d2</v>
      </c>
      <c r="K5" s="183"/>
      <c r="L5" s="180"/>
      <c r="M5" s="180"/>
      <c r="N5" s="181"/>
      <c r="P5" s="48"/>
      <c r="Q5" s="48"/>
      <c r="R5" s="49"/>
      <c r="X5" s="61" t="s">
        <v>20</v>
      </c>
      <c r="Y5" s="61" t="s">
        <v>64</v>
      </c>
      <c r="Z5" s="61" t="s">
        <v>37</v>
      </c>
      <c r="AA5" s="61" t="s">
        <v>53</v>
      </c>
      <c r="AB5" s="61" t="s">
        <v>40</v>
      </c>
      <c r="AC5" s="61" t="s">
        <v>34</v>
      </c>
      <c r="AD5" s="61" t="s">
        <v>29</v>
      </c>
      <c r="AF5" s="76" t="s">
        <v>68</v>
      </c>
      <c r="AG5" s="63" t="s">
        <v>66</v>
      </c>
      <c r="AH5" t="s">
        <v>44</v>
      </c>
      <c r="AI5" s="61" t="s">
        <v>47</v>
      </c>
    </row>
    <row r="6" spans="1:35" ht="15.75" thickBot="1" x14ac:dyDescent="0.3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3</v>
      </c>
      <c r="D6" s="4">
        <v>2</v>
      </c>
      <c r="E6" s="4"/>
      <c r="F6" s="17" t="str">
        <f t="shared" si="0"/>
        <v>1d6</v>
      </c>
      <c r="L6" s="1"/>
      <c r="M6" s="1"/>
      <c r="N6" s="1"/>
      <c r="P6" s="48"/>
      <c r="Q6" s="48"/>
      <c r="R6" s="49"/>
      <c r="T6" s="168" t="s">
        <v>8</v>
      </c>
      <c r="U6" s="170">
        <f>8 + L14 + N14</f>
        <v>8</v>
      </c>
      <c r="X6" s="61" t="s">
        <v>22</v>
      </c>
      <c r="Y6" s="61" t="s">
        <v>64</v>
      </c>
      <c r="Z6" s="61" t="s">
        <v>42</v>
      </c>
      <c r="AA6" s="61" t="s">
        <v>38</v>
      </c>
      <c r="AB6" s="61" t="s">
        <v>40</v>
      </c>
      <c r="AC6" s="61" t="s">
        <v>35</v>
      </c>
      <c r="AD6" s="61" t="s">
        <v>29</v>
      </c>
    </row>
    <row r="7" spans="1:35" ht="60.75" thickBot="1" x14ac:dyDescent="0.3">
      <c r="A7" s="13"/>
      <c r="B7" s="18" t="str">
        <f>IF(L24 = 0,"Might","Força")</f>
        <v>Might</v>
      </c>
      <c r="C7" s="3">
        <f t="shared" si="1"/>
        <v>0</v>
      </c>
      <c r="D7" s="5"/>
      <c r="E7" s="5"/>
      <c r="F7" s="19" t="str">
        <f t="shared" si="0"/>
        <v>1d2</v>
      </c>
      <c r="K7" s="184" t="s">
        <v>3</v>
      </c>
      <c r="L7" s="187">
        <v>20</v>
      </c>
      <c r="M7" s="189" t="s">
        <v>0</v>
      </c>
      <c r="N7" s="191">
        <f>IF(8+2*(D6+E6)+2*(D16+E16)+D12+E12+_xlfn.FLOOR.MATH(1.5*(D7+E7))+2*L4&gt;0,8+2*(D6+E6)+2*(D16+E16)+D12+E12+_xlfn.FLOOR.MATH(1.5*(D7+E7))+2*L4,1)</f>
        <v>20</v>
      </c>
      <c r="P7" s="48"/>
      <c r="Q7" s="48"/>
      <c r="R7" s="49"/>
      <c r="T7" s="169"/>
      <c r="U7" s="171"/>
      <c r="X7" s="61" t="s">
        <v>23</v>
      </c>
      <c r="Y7" s="61" t="s">
        <v>65</v>
      </c>
      <c r="Z7" s="61" t="s">
        <v>70</v>
      </c>
      <c r="AA7" s="61" t="s">
        <v>71</v>
      </c>
      <c r="AB7" s="61" t="s">
        <v>39</v>
      </c>
      <c r="AC7" s="61" t="s">
        <v>29</v>
      </c>
      <c r="AD7" s="61" t="s">
        <v>28</v>
      </c>
    </row>
    <row r="8" spans="1:35" ht="15" customHeight="1" thickBot="1" x14ac:dyDescent="0.3">
      <c r="A8" s="13"/>
      <c r="B8" s="139" t="str">
        <f>IF(L24 = 0,"Mental","Mentais")</f>
        <v>Mental</v>
      </c>
      <c r="C8" s="140"/>
      <c r="D8" s="140"/>
      <c r="E8" s="140"/>
      <c r="F8" s="141"/>
      <c r="K8" s="185"/>
      <c r="L8" s="188"/>
      <c r="M8" s="190"/>
      <c r="N8" s="192"/>
      <c r="P8" s="48"/>
      <c r="Q8" s="48"/>
      <c r="R8" s="49"/>
      <c r="X8" s="61"/>
      <c r="Y8" s="61"/>
      <c r="Z8" s="61"/>
      <c r="AA8" s="61"/>
      <c r="AB8" s="61"/>
      <c r="AC8" s="61"/>
      <c r="AD8" s="61"/>
    </row>
    <row r="9" spans="1:35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10</v>
      </c>
      <c r="D9" s="8">
        <v>4</v>
      </c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1d10</v>
      </c>
      <c r="K9" s="164" t="s">
        <v>9</v>
      </c>
      <c r="L9" s="90">
        <v>33</v>
      </c>
      <c r="M9" s="193" t="s">
        <v>0</v>
      </c>
      <c r="N9" s="123">
        <f xml:space="preserve"> IF(_xlfn.CEILING.MATH(10 + 3*(D9 + E9) + 1.5*(D12 + E12) + 2*(D10 + E10) + 1.5*MAX(D18+E18, D19+E19, D20+E20, D21+E21, D22+E22, D23+E23, D24+E24, D25+E25)) &gt; 0, _xlfn.CEILING.MATH(10 + 3*(D9 + E9) + 1.5*(D12 + E12) + 2*(D10 + E10) + 1.5*MAX(D18+E18, D19+E19, D20+E20, D21+E21, D22+E22, D23+E23, D24+E24, D25+E25)), 1)</f>
        <v>33</v>
      </c>
      <c r="P9" s="48"/>
      <c r="Q9" s="48"/>
      <c r="R9" s="49"/>
      <c r="T9" s="69" t="str">
        <f>IF($L$24=0, "Languages", "Línguas")</f>
        <v>Languages</v>
      </c>
      <c r="V9" s="53"/>
      <c r="X9" s="195"/>
      <c r="Y9" s="195"/>
      <c r="Z9" s="195"/>
      <c r="AA9" s="195"/>
      <c r="AB9" s="195"/>
      <c r="AC9" s="195"/>
      <c r="AD9" s="195"/>
    </row>
    <row r="10" spans="1:35" ht="15" customHeight="1" thickBot="1" x14ac:dyDescent="0.3">
      <c r="A10" s="13"/>
      <c r="B10" s="22" t="str">
        <f>IF(L24 = 0,"Logic","Lógica")</f>
        <v>Logic</v>
      </c>
      <c r="C10" s="9">
        <f t="shared" si="2"/>
        <v>0</v>
      </c>
      <c r="D10" s="9"/>
      <c r="E10" s="9"/>
      <c r="F10" s="23" t="str">
        <f t="shared" si="3"/>
        <v>1d2</v>
      </c>
      <c r="K10" s="165"/>
      <c r="L10" s="91"/>
      <c r="M10" s="194"/>
      <c r="N10" s="124"/>
      <c r="P10" s="48"/>
      <c r="Q10" s="48"/>
      <c r="R10" s="49"/>
      <c r="T10" s="68" t="s">
        <v>31</v>
      </c>
      <c r="X10" s="195"/>
      <c r="Y10" s="195"/>
      <c r="Z10" s="195"/>
      <c r="AA10" s="195"/>
      <c r="AB10" s="195"/>
      <c r="AC10" s="195"/>
      <c r="AD10" s="195"/>
    </row>
    <row r="11" spans="1:35" ht="15" customHeight="1" thickBot="1" x14ac:dyDescent="0.3">
      <c r="A11" s="13"/>
      <c r="B11" s="20" t="str">
        <f>IF(L24 = 0,"Perception","Percepção")</f>
        <v>Perception</v>
      </c>
      <c r="C11" s="8">
        <f t="shared" si="2"/>
        <v>3</v>
      </c>
      <c r="D11" s="8">
        <v>2</v>
      </c>
      <c r="E11" s="8"/>
      <c r="F11" s="21" t="str">
        <f t="shared" si="3"/>
        <v>1d6</v>
      </c>
      <c r="P11" s="48"/>
      <c r="Q11" s="48"/>
      <c r="R11" s="49"/>
      <c r="T11" s="68" t="s">
        <v>32</v>
      </c>
      <c r="X11" s="195"/>
      <c r="Y11" s="195"/>
      <c r="Z11" s="195"/>
      <c r="AA11" s="195"/>
      <c r="AB11" s="195"/>
      <c r="AC11" s="195"/>
      <c r="AD11" s="195"/>
    </row>
    <row r="12" spans="1:35" ht="15" customHeight="1" thickBot="1" x14ac:dyDescent="0.3">
      <c r="A12" s="13"/>
      <c r="B12" s="22" t="str">
        <f>IF(L24 = 0,"Will","Vontade")</f>
        <v>Will</v>
      </c>
      <c r="C12" s="9">
        <f t="shared" si="2"/>
        <v>3</v>
      </c>
      <c r="D12" s="9">
        <v>2</v>
      </c>
      <c r="E12" s="9"/>
      <c r="F12" s="23" t="str">
        <f t="shared" si="3"/>
        <v>1d6</v>
      </c>
      <c r="K12" s="108" t="str">
        <f>IF(L24 = 0, "GUARD", "GUARD")</f>
        <v>GUARD</v>
      </c>
      <c r="L12" s="104">
        <f>IF(OR(1.5*(D7) &lt; D5, IFERROR(_xlfn.NUMBERVALUE(L29), 0) = 0), 0, _xlfn.FLOOR.MATH(1*(D7 + E7) + 0.75*(D6 + E6) + 0.5*(D25 + E25) + (L29-5)))</f>
        <v>2</v>
      </c>
      <c r="M12" s="104" t="str">
        <f>IF(N12 &gt; 0, "+", "")</f>
        <v/>
      </c>
      <c r="N12" s="88"/>
      <c r="P12" s="48"/>
      <c r="Q12" s="48"/>
      <c r="R12" s="49"/>
      <c r="T12" s="68" t="s">
        <v>72</v>
      </c>
      <c r="X12" s="195"/>
      <c r="Y12" s="195"/>
      <c r="Z12" s="195"/>
      <c r="AA12" s="195"/>
      <c r="AB12" s="195"/>
      <c r="AC12" s="195"/>
      <c r="AD12" s="195"/>
    </row>
    <row r="13" spans="1:35" ht="15" customHeight="1" x14ac:dyDescent="0.25">
      <c r="A13" s="13"/>
      <c r="B13" s="136" t="str">
        <f>IF(L24 = 0,"Social","Sociais")</f>
        <v>Social</v>
      </c>
      <c r="C13" s="137"/>
      <c r="D13" s="137"/>
      <c r="E13" s="137"/>
      <c r="F13" s="138"/>
      <c r="K13" s="109"/>
      <c r="L13" s="105"/>
      <c r="M13" s="105"/>
      <c r="N13" s="89"/>
      <c r="P13" s="48"/>
      <c r="Q13" s="48"/>
      <c r="R13" s="49"/>
      <c r="T13" s="68" t="s">
        <v>73</v>
      </c>
      <c r="X13" s="195"/>
      <c r="Y13" s="195"/>
      <c r="Z13" s="195"/>
      <c r="AA13" s="195"/>
      <c r="AB13" s="195"/>
      <c r="AC13" s="195"/>
      <c r="AD13" s="195"/>
    </row>
    <row r="14" spans="1:35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0</v>
      </c>
      <c r="D14" s="10"/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102" t="str">
        <f>IF(L24 = 0, "DODGE", "EVASÃO")</f>
        <v>DODGE</v>
      </c>
      <c r="L14" s="94">
        <f>IF(AND(D7&gt;1.5*(D5), ROUND(0.75*(D5 + E5) + 0.5*(D11 + E11) + 1*(D14 + E14) - 0.5*(D7 + E7) - (L29 - 5), 0) &gt; 0), 0, ROUND(0.75*(D5 + E5) + 0.5*(D11 + E11) + 1*(D14 + E14)  - 0.5*(D7 + E7) - (L29 - 5), 0))</f>
        <v>0</v>
      </c>
      <c r="M14" s="94" t="str">
        <f>IF(N14 &gt; 0, "+", "")</f>
        <v/>
      </c>
      <c r="N14" s="92"/>
      <c r="P14" s="48"/>
      <c r="Q14" s="48"/>
      <c r="R14" s="49"/>
      <c r="T14" s="68" t="s">
        <v>74</v>
      </c>
    </row>
    <row r="15" spans="1:35" ht="15" customHeight="1" thickBot="1" x14ac:dyDescent="0.3">
      <c r="A15" s="13"/>
      <c r="B15" s="26" t="str">
        <f>IF(L24 = 0,"Persuation","Persuasão")</f>
        <v>Persuation</v>
      </c>
      <c r="C15" s="12">
        <f t="shared" si="4"/>
        <v>0</v>
      </c>
      <c r="D15" s="12"/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103"/>
      <c r="L15" s="95"/>
      <c r="M15" s="95"/>
      <c r="N15" s="93"/>
      <c r="P15" s="48"/>
      <c r="Q15" s="48"/>
      <c r="R15" s="49"/>
      <c r="T15" s="53"/>
    </row>
    <row r="16" spans="1:35" ht="15" customHeight="1" thickBot="1" x14ac:dyDescent="0.3">
      <c r="A16" s="13"/>
      <c r="B16" s="28" t="str">
        <f>IF(L24 = 0,"Presence","Presença")</f>
        <v>Presence</v>
      </c>
      <c r="C16" s="11">
        <f t="shared" si="4"/>
        <v>3</v>
      </c>
      <c r="D16" s="70">
        <v>2</v>
      </c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1d6</v>
      </c>
      <c r="P16" s="48"/>
      <c r="Q16" s="48"/>
      <c r="R16" s="49"/>
      <c r="U16" s="53"/>
    </row>
    <row r="17" spans="1:21" ht="15" customHeight="1" x14ac:dyDescent="0.25">
      <c r="A17" s="13"/>
      <c r="B17" s="133" t="str">
        <f>IF(L24 = 0,"Extraordinary","Extraordinários")</f>
        <v>Extraordinary</v>
      </c>
      <c r="C17" s="134"/>
      <c r="D17" s="134"/>
      <c r="E17" s="134"/>
      <c r="F17" s="135"/>
      <c r="K17" s="125" t="str">
        <f>IF(L24 = 0, "Skill Points", "Pontos de Habilidade")</f>
        <v>Skill Points</v>
      </c>
      <c r="L17" s="126"/>
      <c r="M17" s="126"/>
      <c r="N17" s="176">
        <v>0</v>
      </c>
      <c r="P17" s="48"/>
      <c r="Q17" s="48"/>
      <c r="R17" s="49"/>
      <c r="U17" s="53"/>
    </row>
    <row r="18" spans="1:21" x14ac:dyDescent="0.25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27"/>
      <c r="L18" s="128"/>
      <c r="M18" s="128"/>
      <c r="N18" s="177"/>
      <c r="P18" s="48"/>
      <c r="Q18" s="48"/>
      <c r="R18" s="49"/>
      <c r="U18" s="53"/>
    </row>
    <row r="19" spans="1:21" x14ac:dyDescent="0.25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98" t="str">
        <f>IF(L24= 0, "Attribute Points", "Pontos de Atributo")</f>
        <v>Attribute Points</v>
      </c>
      <c r="L19" s="99"/>
      <c r="M19" s="99"/>
      <c r="N19" s="96">
        <v>0</v>
      </c>
      <c r="P19" s="48"/>
      <c r="Q19" s="48"/>
      <c r="R19" s="49"/>
      <c r="U19" s="53"/>
    </row>
    <row r="20" spans="1:21" x14ac:dyDescent="0.25">
      <c r="A20" s="13"/>
      <c r="B20" s="30" t="str">
        <f>IF(L24 = 0,"Energy","Energia")</f>
        <v>Energy</v>
      </c>
      <c r="C20" s="7">
        <f t="shared" si="7"/>
        <v>15</v>
      </c>
      <c r="D20" s="7">
        <v>5</v>
      </c>
      <c r="E20" s="7"/>
      <c r="F20" s="31" t="str">
        <f t="shared" si="8"/>
        <v>2d6</v>
      </c>
      <c r="K20" s="100"/>
      <c r="L20" s="101"/>
      <c r="M20" s="101"/>
      <c r="N20" s="97"/>
      <c r="P20" s="48"/>
      <c r="Q20" s="48"/>
      <c r="R20" s="49"/>
      <c r="U20" s="53"/>
    </row>
    <row r="21" spans="1:21" x14ac:dyDescent="0.25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172" t="str">
        <f>IF(L24 = 0, "Feat Points", "Pontos de Perícia")</f>
        <v>Feat Points</v>
      </c>
      <c r="L21" s="173"/>
      <c r="M21" s="173"/>
      <c r="N21" s="106">
        <v>0</v>
      </c>
      <c r="P21" s="48"/>
      <c r="Q21" s="48"/>
      <c r="R21" s="49"/>
      <c r="U21" s="53"/>
    </row>
    <row r="22" spans="1:21" ht="15" customHeight="1" thickBot="1" x14ac:dyDescent="0.3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174"/>
      <c r="L22" s="175"/>
      <c r="M22" s="175"/>
      <c r="N22" s="107"/>
      <c r="P22" s="48"/>
      <c r="Q22" s="48"/>
      <c r="R22" s="49"/>
      <c r="U22" s="53"/>
    </row>
    <row r="23" spans="1:21" ht="15" customHeight="1" thickBot="1" x14ac:dyDescent="0.3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P23" s="48"/>
      <c r="Q23" s="48"/>
      <c r="R23" s="49"/>
      <c r="S23" s="53"/>
      <c r="T23" s="53"/>
      <c r="U23" s="53"/>
    </row>
    <row r="24" spans="1:21" ht="15" customHeight="1" x14ac:dyDescent="0.25">
      <c r="A24" s="13"/>
      <c r="B24" s="30" t="str">
        <f>IF(L24 = 0,"Prescience","Preciência")</f>
        <v>Prescience</v>
      </c>
      <c r="C24" s="7">
        <f t="shared" si="7"/>
        <v>3</v>
      </c>
      <c r="D24" s="7">
        <v>2</v>
      </c>
      <c r="E24" s="7"/>
      <c r="F24" s="31" t="str">
        <f t="shared" si="8"/>
        <v>1d6</v>
      </c>
      <c r="K24" s="148" t="str">
        <f>IF(L24 = 0, "Language:", "Língua:")</f>
        <v>Language:</v>
      </c>
      <c r="L24" s="80">
        <v>0</v>
      </c>
      <c r="M24" s="80"/>
      <c r="N24" s="81"/>
      <c r="P24" s="48"/>
      <c r="Q24" s="48"/>
      <c r="R24" s="49"/>
    </row>
    <row r="25" spans="1:21" ht="15" customHeight="1" thickBot="1" x14ac:dyDescent="0.3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49"/>
      <c r="L25" s="82"/>
      <c r="M25" s="82"/>
      <c r="N25" s="83"/>
      <c r="P25" s="48"/>
      <c r="Q25" s="48"/>
      <c r="R25" s="49"/>
    </row>
    <row r="26" spans="1:21" ht="16.5" thickTop="1" thickBot="1" x14ac:dyDescent="0.3">
      <c r="K26" s="40">
        <v>0</v>
      </c>
      <c r="L26" s="86" t="str">
        <f>IF(L24 = 0,"English","Inglês")</f>
        <v>English</v>
      </c>
      <c r="M26" s="86"/>
      <c r="N26" s="87"/>
      <c r="P26" s="48"/>
      <c r="Q26" s="48"/>
      <c r="R26" s="49"/>
    </row>
    <row r="27" spans="1:21" ht="15.75" thickBot="1" x14ac:dyDescent="0.3">
      <c r="B27" s="150" t="str">
        <f>IF(L24 = 0, "Defense Calculation", "Cálculo de Defesa")</f>
        <v>Defense Calculation</v>
      </c>
      <c r="C27" s="151"/>
      <c r="D27" s="151"/>
      <c r="E27" s="151"/>
      <c r="F27" s="152"/>
      <c r="K27" s="41">
        <v>1</v>
      </c>
      <c r="L27" s="84" t="str">
        <f>IF(L24 = 0,"Portuguese","Português")</f>
        <v>Portuguese</v>
      </c>
      <c r="M27" s="84"/>
      <c r="N27" s="85"/>
    </row>
    <row r="28" spans="1:21" ht="15.75" thickBot="1" x14ac:dyDescent="0.3">
      <c r="B28" s="153" t="str">
        <f>IF(L24 = 0, "Pre-Defense", "Antes da Defesa")</f>
        <v>Pre-Defense</v>
      </c>
      <c r="C28" s="154"/>
      <c r="D28" s="161" t="str">
        <f>IF(L24 = 0, "Post-Defense", "Pós-Defesa")</f>
        <v>Post-Defense</v>
      </c>
      <c r="E28" s="162"/>
      <c r="F28" s="163"/>
    </row>
    <row r="29" spans="1:21" ht="15.75" thickBot="1" x14ac:dyDescent="0.3">
      <c r="B29" s="155"/>
      <c r="C29" s="156"/>
      <c r="D29" s="156" t="str">
        <f>IF(B29 = "", "", IF(L14+N14 &lt; 0, B29 - (L12+N12), IF(ROUNDDOWN(B29 * 15/(L14+N14+15) - (L12+N12), 0) &gt;= 0, ROUNDDOWN(B29 * 15/(L14+N14+15) - (L12+N12), 0), 0)))</f>
        <v/>
      </c>
      <c r="E29" s="156"/>
      <c r="F29" s="159"/>
      <c r="K29" s="42" t="str">
        <f>IF(L24 = 0, "Size:", "Tamanho:")</f>
        <v>Size:</v>
      </c>
      <c r="L29" s="145">
        <v>6</v>
      </c>
      <c r="M29" s="146"/>
      <c r="N29" s="147"/>
    </row>
    <row r="30" spans="1:21" ht="15.75" customHeight="1" thickBot="1" x14ac:dyDescent="0.3">
      <c r="B30" s="157"/>
      <c r="C30" s="158"/>
      <c r="D30" s="158"/>
      <c r="E30" s="158"/>
      <c r="F30" s="160"/>
    </row>
    <row r="31" spans="1:21" ht="19.5" thickBot="1" x14ac:dyDescent="0.3">
      <c r="P31" s="132" t="s">
        <v>6</v>
      </c>
      <c r="Q31" s="132"/>
      <c r="R31" s="132"/>
      <c r="S31" s="132"/>
      <c r="T31" s="132"/>
      <c r="U31" s="132"/>
    </row>
    <row r="32" spans="1:21" ht="34.5" thickBot="1" x14ac:dyDescent="0.3">
      <c r="B32" s="51" t="s">
        <v>5</v>
      </c>
      <c r="C32" s="122">
        <v>16</v>
      </c>
      <c r="D32" s="122"/>
      <c r="E32" s="50" t="s">
        <v>0</v>
      </c>
      <c r="F32" s="52">
        <f xml:space="preserve"> 8 + 3*(D6+E6) + 2*(D5+E5) + D7+E7 + 2*L4</f>
        <v>16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5" t="str">
        <f>IF(L24=0,"Name","Nome")</f>
        <v>Name</v>
      </c>
      <c r="Q32" s="55" t="s">
        <v>7</v>
      </c>
      <c r="R32" s="55" t="str">
        <f>IF(L24=0,"Effect","Efeito")</f>
        <v>Effect</v>
      </c>
      <c r="S32" s="55" t="str">
        <f>IF(L24=0,"Defense","Defesa")</f>
        <v>Defense</v>
      </c>
      <c r="T32" s="60" t="s">
        <v>10</v>
      </c>
      <c r="U32" s="60" t="s">
        <v>11</v>
      </c>
    </row>
    <row r="33" spans="2:21" ht="45.75" thickBot="1" x14ac:dyDescent="0.3">
      <c r="H33" s="61" t="s">
        <v>12</v>
      </c>
      <c r="I33" s="61" t="s">
        <v>13</v>
      </c>
      <c r="J33" s="48" t="s">
        <v>29</v>
      </c>
      <c r="K33" s="48" t="s">
        <v>29</v>
      </c>
      <c r="P33" s="48" t="s">
        <v>48</v>
      </c>
      <c r="Q33" s="48" t="s">
        <v>49</v>
      </c>
      <c r="R33" s="61" t="s">
        <v>50</v>
      </c>
      <c r="S33" s="61" t="s">
        <v>57</v>
      </c>
      <c r="T33" s="62" t="s">
        <v>51</v>
      </c>
      <c r="U33" s="61" t="s">
        <v>52</v>
      </c>
    </row>
    <row r="34" spans="2:21" ht="30" x14ac:dyDescent="0.25">
      <c r="B34" s="120" t="str">
        <f>IF(L24 = 0, "HP Dice", "Dado de HP")</f>
        <v>HP Dice</v>
      </c>
      <c r="C34" s="110"/>
      <c r="D34" s="110" t="str">
        <f>IF(L24 = 0,"Fortitude","Fortitude")</f>
        <v>Fortitude</v>
      </c>
      <c r="E34" s="110"/>
      <c r="F34" s="111"/>
      <c r="P34" s="61" t="s">
        <v>56</v>
      </c>
      <c r="Q34" s="48" t="s">
        <v>49</v>
      </c>
      <c r="R34" s="59" t="s">
        <v>61</v>
      </c>
      <c r="S34" s="61" t="s">
        <v>58</v>
      </c>
      <c r="T34" s="63" t="s">
        <v>60</v>
      </c>
      <c r="U34" s="61" t="s">
        <v>62</v>
      </c>
    </row>
    <row r="35" spans="2:21" ht="30.75" thickBot="1" x14ac:dyDescent="0.3">
      <c r="B35" s="121"/>
      <c r="C35" s="112"/>
      <c r="D35" s="112"/>
      <c r="E35" s="112"/>
      <c r="F35" s="113"/>
      <c r="P35" s="61" t="s">
        <v>54</v>
      </c>
      <c r="Q35" s="48" t="s">
        <v>49</v>
      </c>
      <c r="R35" s="59" t="s">
        <v>63</v>
      </c>
      <c r="S35" s="61" t="s">
        <v>59</v>
      </c>
      <c r="T35" s="48" t="s">
        <v>51</v>
      </c>
      <c r="U35" s="61" t="s">
        <v>55</v>
      </c>
    </row>
    <row r="36" spans="2:21" ht="15" customHeight="1" x14ac:dyDescent="0.25">
      <c r="B36" s="114" t="str">
        <f>IF(L24 = 0, "MP Dice", "Dado de MP")</f>
        <v>MP Dice</v>
      </c>
      <c r="C36" s="115"/>
      <c r="D36" s="115" t="str">
        <f>IF(L24 = 0,"Learning","Aprendizado")</f>
        <v>Learning</v>
      </c>
      <c r="E36" s="115" t="str">
        <f t="shared" ref="E36:F36" si="9">IF(O51 = 0,"Learning","Aprendizado")</f>
        <v>Learning</v>
      </c>
      <c r="F36" s="118" t="str">
        <f t="shared" si="9"/>
        <v>Learning</v>
      </c>
      <c r="P36" s="61"/>
      <c r="Q36" s="48"/>
      <c r="R36" s="59"/>
      <c r="S36" s="61"/>
      <c r="T36" s="48"/>
      <c r="U36" s="61"/>
    </row>
    <row r="37" spans="2:21" ht="15.75" customHeight="1" thickBot="1" x14ac:dyDescent="0.3">
      <c r="B37" s="116"/>
      <c r="C37" s="117"/>
      <c r="D37" s="117" t="str">
        <f t="shared" ref="D37:F37" si="10">IF(N52 = 0,"Learning","Aprendizado")</f>
        <v>Learning</v>
      </c>
      <c r="E37" s="117" t="str">
        <f t="shared" si="10"/>
        <v>Learning</v>
      </c>
      <c r="F37" s="119" t="str">
        <f t="shared" si="10"/>
        <v>Learning</v>
      </c>
      <c r="P37" s="61"/>
      <c r="Q37" s="48"/>
      <c r="R37" s="59"/>
      <c r="S37" s="61"/>
      <c r="T37" s="48"/>
      <c r="U37" s="61"/>
    </row>
  </sheetData>
  <mergeCells count="53">
    <mergeCell ref="AF2:AI2"/>
    <mergeCell ref="X2:AD2"/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K17:M18"/>
    <mergeCell ref="T2:V2"/>
    <mergeCell ref="P31:U31"/>
    <mergeCell ref="B17:F17"/>
    <mergeCell ref="B13:F13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D34:F35"/>
    <mergeCell ref="B36:C37"/>
    <mergeCell ref="D36:F37"/>
    <mergeCell ref="B34:C35"/>
    <mergeCell ref="C32:D32"/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K19:M20"/>
    <mergeCell ref="K14:K15"/>
    <mergeCell ref="L14:L15"/>
    <mergeCell ref="M12:M13"/>
    <mergeCell ref="N21:N22"/>
    <mergeCell ref="K12:K13"/>
    <mergeCell ref="L12:L13"/>
  </mergeCells>
  <pageMargins left="0.7" right="0.7" top="0.75" bottom="0.75" header="0.3" footer="0.3"/>
  <pageSetup paperSize="9" orientation="portrait" r:id="rId1"/>
  <ignoredErrors>
    <ignoredError sqref="AG4:AG5" numberStoredAsText="1"/>
  </ignoredErrors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52" r:id="rId6" name="CommandButton1">
          <controlPr defaultSize="0" autoLine="0" r:id="rId7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1052" r:id="rId6" name="Command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6">
    <tablePart r:id="rId26"/>
    <tablePart r:id="rId27"/>
    <tablePart r:id="rId28"/>
    <tablePart r:id="rId29"/>
    <tablePart r:id="rId30"/>
    <tablePart r:id="rId3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2019-02-05T12:33:48Z</dcterms:modified>
</cp:coreProperties>
</file>