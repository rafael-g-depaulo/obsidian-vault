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Fantasy Battle Character Sheets\Jorge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4" i="1" l="1"/>
  <c r="J33" i="1" l="1"/>
  <c r="B25" i="1" l="1"/>
  <c r="J34" i="1"/>
  <c r="B20" i="1"/>
  <c r="J36" i="1"/>
  <c r="J35" i="1"/>
  <c r="N9" i="1" l="1"/>
  <c r="N7" i="1"/>
  <c r="F25" i="1"/>
  <c r="F24" i="1"/>
  <c r="F23" i="1"/>
  <c r="F22" i="1"/>
  <c r="F21" i="1"/>
  <c r="F20" i="1"/>
  <c r="F19" i="1"/>
  <c r="F18" i="1"/>
  <c r="F16" i="1"/>
  <c r="F15" i="1"/>
  <c r="F14" i="1"/>
  <c r="F12" i="1"/>
  <c r="F11" i="1"/>
  <c r="F10" i="1"/>
  <c r="F9" i="1"/>
  <c r="F7" i="1"/>
  <c r="F6" i="1"/>
  <c r="F5" i="1"/>
  <c r="L12" i="1" l="1"/>
  <c r="F32" i="1" l="1"/>
  <c r="D29" i="1" l="1"/>
  <c r="M14" i="1" l="1"/>
  <c r="M12" i="1"/>
  <c r="C5" i="1" l="1"/>
  <c r="C3" i="1"/>
  <c r="C11" i="1"/>
  <c r="D3" i="1"/>
  <c r="C25" i="1"/>
  <c r="C24" i="1"/>
  <c r="C23" i="1"/>
  <c r="C22" i="1"/>
  <c r="C21" i="1"/>
  <c r="C20" i="1"/>
  <c r="C19" i="1"/>
  <c r="C18" i="1"/>
  <c r="C16" i="1"/>
  <c r="C15" i="1"/>
  <c r="C14" i="1"/>
  <c r="C12" i="1"/>
  <c r="C10" i="1"/>
  <c r="C9" i="1"/>
  <c r="C7" i="1"/>
  <c r="C6" i="1"/>
  <c r="E3" i="1"/>
  <c r="B24" i="1" l="1"/>
  <c r="B23" i="1"/>
  <c r="B18" i="1"/>
  <c r="J32" i="1"/>
  <c r="Q4" i="1" l="1"/>
  <c r="R4" i="1"/>
  <c r="P2" i="1"/>
  <c r="I32" i="1"/>
  <c r="K32" i="1"/>
  <c r="H32" i="1" l="1"/>
  <c r="K29" i="1"/>
  <c r="H2" i="1"/>
  <c r="B5" i="1"/>
  <c r="K21" i="1" l="1"/>
  <c r="K19" i="1"/>
  <c r="K17" i="1"/>
  <c r="D28" i="1"/>
  <c r="B28" i="1"/>
  <c r="B27" i="1"/>
  <c r="K12" i="1"/>
  <c r="K14" i="1"/>
  <c r="K24" i="1"/>
  <c r="F3" i="1"/>
  <c r="B3" i="1"/>
  <c r="L27" i="1"/>
  <c r="L26" i="1"/>
  <c r="B9" i="1"/>
  <c r="B22" i="1"/>
  <c r="B21" i="1"/>
  <c r="B19" i="1"/>
  <c r="B16" i="1"/>
  <c r="B15" i="1"/>
  <c r="B14" i="1"/>
  <c r="B17" i="1"/>
  <c r="B13" i="1"/>
  <c r="B12" i="1"/>
  <c r="B11" i="1"/>
  <c r="B10" i="1"/>
  <c r="B8" i="1"/>
  <c r="B7" i="1"/>
  <c r="B6" i="1"/>
  <c r="B4" i="1"/>
  <c r="B2" i="1"/>
</calcChain>
</file>

<file path=xl/sharedStrings.xml><?xml version="1.0" encoding="utf-8"?>
<sst xmlns="http://schemas.openxmlformats.org/spreadsheetml/2006/main" count="27" uniqueCount="25">
  <si>
    <t>/</t>
  </si>
  <si>
    <t>LEVEL</t>
  </si>
  <si>
    <t>XP</t>
  </si>
  <si>
    <t>HP:</t>
  </si>
  <si>
    <t>MANA:</t>
  </si>
  <si>
    <t>Qnt</t>
  </si>
  <si>
    <t>Stamina</t>
  </si>
  <si>
    <t>Julgamento Divino</t>
  </si>
  <si>
    <t>Intervenção</t>
  </si>
  <si>
    <t>Fúria Divina</t>
  </si>
  <si>
    <t>Benção</t>
  </si>
  <si>
    <t>Espada</t>
  </si>
  <si>
    <t>Armadura</t>
  </si>
  <si>
    <t>Talion</t>
  </si>
  <si>
    <t>Amuleto de Kahmir</t>
  </si>
  <si>
    <t>Colar de prata, com o símbolo de Kahmir incrustado</t>
  </si>
  <si>
    <t>Usa Força.</t>
  </si>
  <si>
    <t>4 de Mana</t>
  </si>
  <si>
    <t>6 de Mana</t>
  </si>
  <si>
    <t>5 de Mana</t>
  </si>
  <si>
    <t>Ação Maior. Rapidez. Maior Atributos Físico e Extraordinário +1 por 2 turnos. Cura usando Criação.</t>
  </si>
  <si>
    <t>Ação Menor. 3 turnos. Dano a mais em inimigos com mais % do HP. Dano com Criação.</t>
  </si>
  <si>
    <t>17 de Mana</t>
  </si>
  <si>
    <t>Ação Maior. Lentidão. Resistance CR 24 Will. Maior Atributo Físico e Extraordinário caem em 1 ponto por 3 turnos. Resistance CR 18 Will. Dano com Energia.</t>
  </si>
  <si>
    <t xml:space="preserve"> Ação Completa. Recupera Stamina. 3 turnos, ou até quebrar. Quando o escudo quebra, cura. (Proteção+4) de escudo. (Criação+2) de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</si>
</sst>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</cellStyleXfs>
  <cellXfs count="152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0" fillId="0" borderId="0" xfId="0" applyAlignment="1"/>
    <xf numFmtId="0" fontId="23" fillId="12" borderId="11" xfId="11" applyFont="1" applyBorder="1"/>
    <xf numFmtId="0" fontId="0" fillId="0" borderId="0" xfId="0" applyAlignment="1">
      <alignment horizontal="left" vertical="top" wrapText="1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8" xfId="1" applyFont="1" applyBorder="1" applyAlignment="1">
      <alignment horizontal="center" vertical="center"/>
    </xf>
    <xf numFmtId="0" fontId="5" fillId="20" borderId="0" xfId="19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24" fillId="25" borderId="43" xfId="3" applyFont="1" applyFill="1" applyBorder="1" applyAlignment="1">
      <alignment horizontal="center" vertic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9" fillId="2" borderId="4" xfId="1" applyFont="1" applyBorder="1" applyAlignment="1">
      <alignment horizontal="center" vertical="center"/>
    </xf>
    <xf numFmtId="0" fontId="9" fillId="2" borderId="9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10" xfId="1" applyFont="1" applyBorder="1" applyAlignment="1">
      <alignment horizontal="center" vertic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</cellXfs>
  <cellStyles count="23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Input" xfId="3" builtinId="20"/>
    <cellStyle name="Neutral" xfId="2" builtinId="28"/>
    <cellStyle name="Normal" xfId="0" builtinId="0"/>
    <cellStyle name="Note" xfId="4" builtinId="10"/>
  </cellStyles>
  <dxfs count="10"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82F86"/>
      <color rgb="FF55C9FD"/>
      <color rgb="FF744006"/>
      <color rgb="FFFED562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3:K36" headerRowCount="0" totalsRowShown="0" headerRowDxfId="9" dataDxfId="8">
  <tableColumns count="4">
    <tableColumn id="1" name="Column1" dataDxfId="7"/>
    <tableColumn id="2" name="Column2" dataDxfId="6"/>
    <tableColumn id="3" name="Column3" dataDxfId="5"/>
    <tableColumn id="4" name="Column4" headerRowDxfId="4" dataDxfId="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7" headerRowCount="0" totalsRowShown="0">
  <tableColumns count="3">
    <tableColumn id="1" name="Column1" dataDxfId="2"/>
    <tableColumn id="2" name="Column2" dataDxfId="1"/>
    <tableColumn id="3" name="Column3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18" Type="http://schemas.openxmlformats.org/officeDocument/2006/relationships/ctrlProp" Target="../ctrlProps/ctrlProp1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6.x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5" Type="http://schemas.openxmlformats.org/officeDocument/2006/relationships/table" Target="../tables/table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20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24" Type="http://schemas.openxmlformats.org/officeDocument/2006/relationships/table" Target="../tables/table1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23" Type="http://schemas.openxmlformats.org/officeDocument/2006/relationships/ctrlProp" Target="../ctrlProps/ctrlProp18.xml"/><Relationship Id="rId10" Type="http://schemas.openxmlformats.org/officeDocument/2006/relationships/ctrlProp" Target="../ctrlProps/ctrlProp5.xml"/><Relationship Id="rId19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Relationship Id="rId22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9"/>
  <sheetViews>
    <sheetView showGridLines="0" tabSelected="1" topLeftCell="A25" zoomScale="130" zoomScaleNormal="130" workbookViewId="0">
      <selection activeCell="I33" sqref="I33"/>
    </sheetView>
  </sheetViews>
  <sheetFormatPr defaultRowHeight="15" x14ac:dyDescent="0.25"/>
  <cols>
    <col min="2" max="2" width="12.28515625" bestFit="1" customWidth="1"/>
    <col min="3" max="3" width="5.855468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1.42578125" customWidth="1"/>
    <col min="9" max="9" width="59.8554687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140625" customWidth="1"/>
    <col min="17" max="17" width="18.42578125" bestFit="1" customWidth="1"/>
    <col min="18" max="18" width="47.42578125" bestFit="1" customWidth="1"/>
    <col min="19" max="19" width="10.5703125" customWidth="1"/>
    <col min="20" max="21" width="11.7109375" customWidth="1"/>
  </cols>
  <sheetData>
    <row r="1" spans="1:18" ht="15.75" thickBot="1" x14ac:dyDescent="0.3"/>
    <row r="2" spans="1:18" ht="15" customHeight="1" thickTop="1" thickBot="1" x14ac:dyDescent="0.3">
      <c r="A2" s="13"/>
      <c r="B2" s="99" t="str">
        <f>IF(L24 = 0,"Attributes","Atributos")</f>
        <v>Atributos</v>
      </c>
      <c r="C2" s="100"/>
      <c r="D2" s="100"/>
      <c r="E2" s="100"/>
      <c r="F2" s="101"/>
      <c r="H2" s="46" t="str">
        <f>IF(L24 = 0, "Name:", "Nome:")</f>
        <v>Nome:</v>
      </c>
      <c r="I2" s="58" t="s">
        <v>13</v>
      </c>
      <c r="K2" s="94" t="s">
        <v>2</v>
      </c>
      <c r="L2" s="90">
        <v>0</v>
      </c>
      <c r="M2" s="90"/>
      <c r="N2" s="91"/>
      <c r="P2" s="98" t="str">
        <f>IF(L24=0,"Inventory", "Inventário")</f>
        <v>Inventário</v>
      </c>
      <c r="Q2" s="98"/>
      <c r="R2" s="98"/>
    </row>
    <row r="3" spans="1:18" ht="15.75" customHeight="1" thickBot="1" x14ac:dyDescent="0.3">
      <c r="A3" s="13"/>
      <c r="B3" s="37" t="str">
        <f>IF(L24 = 0,"Name","Nome")</f>
        <v>Nome</v>
      </c>
      <c r="C3" s="38" t="str">
        <f>IF(L24 = 0,"Cost","Custo")</f>
        <v>Custo</v>
      </c>
      <c r="D3" s="38" t="str">
        <f>IF(L24 = 0,"Score","Valor")</f>
        <v>Valor</v>
      </c>
      <c r="E3" s="38" t="str">
        <f>IF(L24=0, "Bonus", "Bonus")</f>
        <v>Bonus</v>
      </c>
      <c r="F3" s="39" t="str">
        <f>IF(L24 = 0,"Dice","Dado")</f>
        <v>Dado</v>
      </c>
      <c r="H3" s="47"/>
      <c r="K3" s="95"/>
      <c r="L3" s="92"/>
      <c r="M3" s="92"/>
      <c r="N3" s="93"/>
      <c r="O3" s="2"/>
      <c r="P3" s="98"/>
      <c r="Q3" s="98"/>
      <c r="R3" s="98"/>
    </row>
    <row r="4" spans="1:18" ht="15" customHeight="1" x14ac:dyDescent="0.25">
      <c r="A4" s="13"/>
      <c r="B4" s="111" t="str">
        <f>IF(L24 = 0,"Physical","Físicos")</f>
        <v>Físicos</v>
      </c>
      <c r="C4" s="112"/>
      <c r="D4" s="112"/>
      <c r="E4" s="112"/>
      <c r="F4" s="113"/>
      <c r="K4" s="94" t="s">
        <v>1</v>
      </c>
      <c r="L4" s="90">
        <v>4</v>
      </c>
      <c r="M4" s="90"/>
      <c r="N4" s="91"/>
      <c r="P4" s="48" t="s">
        <v>5</v>
      </c>
      <c r="Q4" s="48" t="str">
        <f>IF(L24 = 0, "Item", "Item")</f>
        <v>Item</v>
      </c>
      <c r="R4" s="48" t="str">
        <f>IF(L24 = 0, "Description", "Descrição")</f>
        <v>Descrição</v>
      </c>
    </row>
    <row r="5" spans="1:18" ht="15.75" customHeight="1" thickBot="1" x14ac:dyDescent="0.3">
      <c r="A5" s="13"/>
      <c r="B5" s="14" t="str">
        <f>IF(L24 = 0,"Agility","Agilidade")</f>
        <v>Agilidade</v>
      </c>
      <c r="C5" s="3">
        <f>IFERROR(_xlfn.NUMBERVALUE(D5), 0) + 1</f>
        <v>1</v>
      </c>
      <c r="D5" s="3"/>
      <c r="E5" s="3"/>
      <c r="F5" s="15" t="str">
        <f>IF(D5 + E5 &lt;=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</f>
        <v>1d4</v>
      </c>
      <c r="K5" s="95"/>
      <c r="L5" s="92"/>
      <c r="M5" s="92"/>
      <c r="N5" s="93"/>
      <c r="P5" s="52">
        <v>1</v>
      </c>
      <c r="Q5" s="52" t="s">
        <v>11</v>
      </c>
      <c r="R5" s="53" t="s">
        <v>16</v>
      </c>
    </row>
    <row r="6" spans="1:18" ht="15" customHeight="1" thickBot="1" x14ac:dyDescent="0.3">
      <c r="A6" s="13"/>
      <c r="B6" s="16" t="str">
        <f>IF(L24 = 0,"Fortitude","Fortitude")</f>
        <v>Fortitude</v>
      </c>
      <c r="C6" s="4">
        <f t="shared" ref="C6:C7" si="0">IFERROR(_xlfn.NUMBERVALUE(D6), 0) + 1</f>
        <v>4</v>
      </c>
      <c r="D6" s="4">
        <v>3</v>
      </c>
      <c r="E6" s="4"/>
      <c r="F6" s="17" t="str">
        <f t="shared" ref="F6:F7" si="1">IF(D6 + E6 &lt;= 1, "1d4", IF(D6 + E6 = 2, "1d6", IF(D6 + E6 = 3, "1d8", IF(D6 + E6 = 4, "1d10", IF(D6 + E6 = 5, "2d6", IF(D6 + E6 = 6, "2d8", IF(D6 + E6 = 7, "2d10", IF(D6 + E6 = 8, "3d8", IF(D6 + E6 = 9, "3d10", IF(D6 + E6 = 10, "4d8", IF(D6 + E6 = 11, "6d6",IF(D6 + E6 = 12, "7d6",IF(D6 + E6 = 13, "6d8",IF(D6 + E6 = 14, "12d4",IF(D6 + E6 = 15, "6d10",IF(D6 + E6 = 16, "8d8",IF(D6 + E6 = 17, "7d10", "")))))))))))))))))</f>
        <v>1d8</v>
      </c>
      <c r="L6" s="1"/>
      <c r="M6" s="1"/>
      <c r="N6" s="1"/>
      <c r="P6" s="52">
        <v>1</v>
      </c>
      <c r="Q6" s="52" t="s">
        <v>12</v>
      </c>
      <c r="R6" s="53"/>
    </row>
    <row r="7" spans="1:18" ht="15" customHeight="1" thickBot="1" x14ac:dyDescent="0.3">
      <c r="A7" s="13"/>
      <c r="B7" s="18" t="str">
        <f>IF(L24 = 0,"Might","Força")</f>
        <v>Força</v>
      </c>
      <c r="C7" s="3">
        <f t="shared" si="0"/>
        <v>5</v>
      </c>
      <c r="D7" s="5">
        <v>4</v>
      </c>
      <c r="E7" s="5"/>
      <c r="F7" s="19" t="str">
        <f t="shared" si="1"/>
        <v>1d10</v>
      </c>
      <c r="K7" s="96" t="s">
        <v>3</v>
      </c>
      <c r="L7" s="123">
        <v>34</v>
      </c>
      <c r="M7" s="123" t="s">
        <v>0</v>
      </c>
      <c r="N7" s="125">
        <f>IF(10+2*(D6+E6)+2*(D16+E16)+D12+E12+_xlfn.FLOOR.MATH(1.5*(D7+E7))+2*L4&gt;0,10+2*(D6+E6)+2*(D16+E16)+D12+E12+_xlfn.FLOOR.MATH(1.5*(D7+E7))+2*L4,1)</f>
        <v>34</v>
      </c>
      <c r="P7" s="52">
        <v>1</v>
      </c>
      <c r="Q7" s="52" t="s">
        <v>14</v>
      </c>
      <c r="R7" s="53" t="s">
        <v>15</v>
      </c>
    </row>
    <row r="8" spans="1:18" ht="15" customHeight="1" thickBot="1" x14ac:dyDescent="0.3">
      <c r="A8" s="13"/>
      <c r="B8" s="108" t="str">
        <f>IF(L24 = 0,"Mental","Mentais")</f>
        <v>Mentais</v>
      </c>
      <c r="C8" s="109"/>
      <c r="D8" s="109"/>
      <c r="E8" s="109"/>
      <c r="F8" s="110"/>
      <c r="K8" s="97"/>
      <c r="L8" s="124"/>
      <c r="M8" s="124"/>
      <c r="N8" s="126"/>
    </row>
    <row r="9" spans="1:18" ht="15.75" customHeight="1" x14ac:dyDescent="0.25">
      <c r="A9" s="13"/>
      <c r="B9" s="20" t="str">
        <f>IF(L24 = 0,"Learning","Aprendizado")</f>
        <v>Aprendizado</v>
      </c>
      <c r="C9" s="8">
        <f t="shared" ref="C9:C12" si="2">IFERROR(_xlfn.NUMBERVALUE(D9), 0) + 1</f>
        <v>5</v>
      </c>
      <c r="D9" s="8">
        <v>4</v>
      </c>
      <c r="E9" s="8"/>
      <c r="F9" s="21" t="str">
        <f t="shared" ref="F9:F12" si="3">IF(D9 + E9 &lt;=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</f>
        <v>1d10</v>
      </c>
      <c r="K9" s="74" t="s">
        <v>4</v>
      </c>
      <c r="L9" s="68">
        <v>38</v>
      </c>
      <c r="M9" s="68" t="s">
        <v>0</v>
      </c>
      <c r="N9" s="70">
        <f xml:space="preserve"> IF(10 + 3*(D9 + E9) + 2*(D12 + E12) + _xlfn.CEILING.MATH(1.5*MAX(D18+E18, D19+E19, D20+E20, D21+E21, D22+E22, D23+E23, D24+E24, D25+E25)) &gt; 0, 10 + 3*(D9 + E9) + 2*(D12 + E12) + _xlfn.CEILING.MATH(1.5*MAX(D18+E18, D19+E19, D20+E20, D21+E21, D22+E22, D23+E23, D24+E24, D25+E25)), 1)</f>
        <v>38</v>
      </c>
    </row>
    <row r="10" spans="1:18" ht="15" customHeight="1" thickBot="1" x14ac:dyDescent="0.3">
      <c r="A10" s="13"/>
      <c r="B10" s="22" t="str">
        <f>IF(L24 = 0,"Logic","Lógica")</f>
        <v>Lógica</v>
      </c>
      <c r="C10" s="9">
        <f t="shared" si="2"/>
        <v>1</v>
      </c>
      <c r="D10" s="9"/>
      <c r="E10" s="9"/>
      <c r="F10" s="23" t="str">
        <f t="shared" si="3"/>
        <v>1d4</v>
      </c>
      <c r="K10" s="75"/>
      <c r="L10" s="69"/>
      <c r="M10" s="69"/>
      <c r="N10" s="71"/>
    </row>
    <row r="11" spans="1:18" ht="15" customHeight="1" thickBot="1" x14ac:dyDescent="0.3">
      <c r="A11" s="13"/>
      <c r="B11" s="20" t="str">
        <f>IF(L24 = 0,"Perception","Percepção")</f>
        <v>Percepção</v>
      </c>
      <c r="C11" s="8">
        <f>IFERROR(_xlfn.NUMBERVALUE(D11), 0) + 1</f>
        <v>1</v>
      </c>
      <c r="D11" s="8"/>
      <c r="E11" s="8"/>
      <c r="F11" s="21" t="str">
        <f t="shared" si="3"/>
        <v>1d4</v>
      </c>
    </row>
    <row r="12" spans="1:18" ht="15" customHeight="1" thickBot="1" x14ac:dyDescent="0.3">
      <c r="A12" s="13"/>
      <c r="B12" s="22" t="str">
        <f>IF(L24 = 0,"Will","Vontade")</f>
        <v>Vontade</v>
      </c>
      <c r="C12" s="9">
        <f t="shared" si="2"/>
        <v>5</v>
      </c>
      <c r="D12" s="9">
        <v>4</v>
      </c>
      <c r="E12" s="9"/>
      <c r="F12" s="23" t="str">
        <f t="shared" si="3"/>
        <v>1d10</v>
      </c>
      <c r="K12" s="76" t="str">
        <f>IF(L24 = 0, "GUARD", "GUARD")</f>
        <v>GUARD</v>
      </c>
      <c r="L12" s="88">
        <f>IF(OR(1.5*(D7 + E7) &lt; D5 + E5, IFERROR(_xlfn.NUMBERVALUE(L29), 0) = 0), 0, _xlfn.FLOOR.MATH(1*D7 + 1*E7 + 0.75*D6 + 0.75*E6 + 1.25*D25 + 1.25*E25 + (L29-5)*0.5))</f>
        <v>12</v>
      </c>
      <c r="M12" s="88" t="str">
        <f>IF(N12 &gt; 0, "+", "")</f>
        <v/>
      </c>
      <c r="N12" s="72"/>
    </row>
    <row r="13" spans="1:18" ht="15" customHeight="1" x14ac:dyDescent="0.25">
      <c r="A13" s="13"/>
      <c r="B13" s="105" t="str">
        <f>IF(L24 = 0,"Social","Sociais")</f>
        <v>Sociais</v>
      </c>
      <c r="C13" s="106"/>
      <c r="D13" s="106"/>
      <c r="E13" s="106"/>
      <c r="F13" s="107"/>
      <c r="K13" s="77"/>
      <c r="L13" s="89"/>
      <c r="M13" s="89"/>
      <c r="N13" s="73"/>
    </row>
    <row r="14" spans="1:18" ht="15" customHeight="1" x14ac:dyDescent="0.25">
      <c r="A14" s="13"/>
      <c r="B14" s="24" t="str">
        <f>IF(L24 = 0,"Deception","Enganação")</f>
        <v>Enganação</v>
      </c>
      <c r="C14" s="10">
        <f t="shared" ref="C14:C16" si="4">IFERROR(_xlfn.NUMBERVALUE(D14), 0) + 1</f>
        <v>1</v>
      </c>
      <c r="D14" s="10"/>
      <c r="E14" s="10"/>
      <c r="F14" s="25" t="str">
        <f t="shared" ref="F14:F16" si="5">IF(D14 + E14 &lt;=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</f>
        <v>1d4</v>
      </c>
      <c r="K14" s="86" t="str">
        <f>IF(L24 = 0, "DODGE", "EVASÃO")</f>
        <v>EVASÃO</v>
      </c>
      <c r="L14" s="62">
        <f>IF(AND(D7 + E7&gt;1.5*(D5 + E5), ROUND(0.75*(D5 + E5) + 0.5*(D11 + E11) - 0.5*(D7 + E7) - 0.5*(L29 - 5), 0) &gt; 0), 0, ROUND(0.75*(D5 + E5) + 0.5*(D11 + E11) - 0.5*(D7 + E7) - 0.5*(L29 - 5), 0))</f>
        <v>-2</v>
      </c>
      <c r="M14" s="62" t="str">
        <f>IF(N14 &gt; 0, "+", "")</f>
        <v/>
      </c>
      <c r="N14" s="60"/>
    </row>
    <row r="15" spans="1:18" ht="15" customHeight="1" thickBot="1" x14ac:dyDescent="0.3">
      <c r="A15" s="13"/>
      <c r="B15" s="26" t="str">
        <f>IF(L24 = 0,"Persuation","Persuasão")</f>
        <v>Persuasão</v>
      </c>
      <c r="C15" s="12">
        <f t="shared" si="4"/>
        <v>1</v>
      </c>
      <c r="D15" s="12"/>
      <c r="E15" s="12"/>
      <c r="F15" s="27" t="str">
        <f t="shared" si="5"/>
        <v>1d4</v>
      </c>
      <c r="K15" s="87"/>
      <c r="L15" s="63"/>
      <c r="M15" s="63"/>
      <c r="N15" s="61"/>
    </row>
    <row r="16" spans="1:18" ht="15" customHeight="1" thickBot="1" x14ac:dyDescent="0.3">
      <c r="A16" s="13"/>
      <c r="B16" s="28" t="str">
        <f>IF(L24 = 0,"Presence","Presença")</f>
        <v>Presença</v>
      </c>
      <c r="C16" s="11">
        <f t="shared" si="4"/>
        <v>1</v>
      </c>
      <c r="D16" s="11"/>
      <c r="E16" s="11"/>
      <c r="F16" s="29" t="str">
        <f t="shared" si="5"/>
        <v>1d4</v>
      </c>
      <c r="P16" s="57"/>
      <c r="Q16" s="57"/>
      <c r="R16" s="57"/>
    </row>
    <row r="17" spans="1:16" ht="15" customHeight="1" x14ac:dyDescent="0.25">
      <c r="A17" s="13"/>
      <c r="B17" s="102" t="str">
        <f>IF(L24 = 0,"Extraordinary","Extraordinários")</f>
        <v>Extraordinários</v>
      </c>
      <c r="C17" s="103"/>
      <c r="D17" s="103"/>
      <c r="E17" s="103"/>
      <c r="F17" s="104"/>
      <c r="K17" s="78" t="str">
        <f>IF(L24 = 0, "Skill Points", "Pontos de Habilidade")</f>
        <v>Pontos de Habilidade</v>
      </c>
      <c r="L17" s="79"/>
      <c r="M17" s="79"/>
      <c r="N17" s="150">
        <v>0</v>
      </c>
      <c r="P17" s="57"/>
    </row>
    <row r="18" spans="1:16" x14ac:dyDescent="0.25">
      <c r="A18" s="13"/>
      <c r="B18" s="30" t="str">
        <f>IF(L24 = 0,"Alteration","Alteração")</f>
        <v>Alteração</v>
      </c>
      <c r="C18" s="7">
        <f t="shared" ref="C18:C25" si="6">IFERROR(_xlfn.NUMBERVALUE(D18), 0) + 1</f>
        <v>1</v>
      </c>
      <c r="D18" s="7"/>
      <c r="E18" s="7"/>
      <c r="F18" s="31" t="str">
        <f t="shared" ref="F18:F25" si="7">IF(D18 + E18 &lt;=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</f>
        <v>1d4</v>
      </c>
      <c r="K18" s="80"/>
      <c r="L18" s="81"/>
      <c r="M18" s="81"/>
      <c r="N18" s="151"/>
      <c r="P18" s="57"/>
    </row>
    <row r="19" spans="1:16" x14ac:dyDescent="0.25">
      <c r="A19" s="13"/>
      <c r="B19" s="32" t="str">
        <f>IF(L24 = 0,"Creation","Criação")</f>
        <v>Criação</v>
      </c>
      <c r="C19" s="6">
        <f t="shared" si="6"/>
        <v>6</v>
      </c>
      <c r="D19" s="6">
        <v>5</v>
      </c>
      <c r="E19" s="6"/>
      <c r="F19" s="33" t="str">
        <f t="shared" si="7"/>
        <v>2d6</v>
      </c>
      <c r="K19" s="82" t="str">
        <f>IF(L24= 0, "Attribute Points", "Pontos de Atributo")</f>
        <v>Pontos de Atributo</v>
      </c>
      <c r="L19" s="83"/>
      <c r="M19" s="83"/>
      <c r="N19" s="64">
        <v>0</v>
      </c>
      <c r="P19" s="57"/>
    </row>
    <row r="20" spans="1:16" x14ac:dyDescent="0.25">
      <c r="A20" s="13"/>
      <c r="B20" s="30" t="str">
        <f>IF(L24 = 0,"Energy","Energia")</f>
        <v>Energia</v>
      </c>
      <c r="C20" s="7">
        <f t="shared" si="6"/>
        <v>5</v>
      </c>
      <c r="D20" s="7">
        <v>4</v>
      </c>
      <c r="E20" s="7"/>
      <c r="F20" s="31" t="str">
        <f t="shared" si="7"/>
        <v>1d10</v>
      </c>
      <c r="K20" s="84"/>
      <c r="L20" s="85"/>
      <c r="M20" s="85"/>
      <c r="N20" s="65"/>
      <c r="P20" s="57"/>
    </row>
    <row r="21" spans="1:16" x14ac:dyDescent="0.25">
      <c r="A21" s="13"/>
      <c r="B21" s="32" t="str">
        <f>IF(L24 = 0,"Entropy","Entropia")</f>
        <v>Entropia</v>
      </c>
      <c r="C21" s="6">
        <f t="shared" si="6"/>
        <v>1</v>
      </c>
      <c r="D21" s="6"/>
      <c r="E21" s="6"/>
      <c r="F21" s="33" t="str">
        <f t="shared" si="7"/>
        <v>1d4</v>
      </c>
      <c r="K21" s="146" t="str">
        <f>IF(L24 = 0, "Feat Points", "Pontos de Perícia")</f>
        <v>Pontos de Perícia</v>
      </c>
      <c r="L21" s="147"/>
      <c r="M21" s="147"/>
      <c r="N21" s="66">
        <v>0</v>
      </c>
      <c r="P21" s="57"/>
    </row>
    <row r="22" spans="1:16" ht="15" customHeight="1" thickBot="1" x14ac:dyDescent="0.3">
      <c r="A22" s="13"/>
      <c r="B22" s="30" t="str">
        <f>IF(L24 = 0,"Influcence","Influência")</f>
        <v>Influência</v>
      </c>
      <c r="C22" s="7">
        <f t="shared" si="6"/>
        <v>1</v>
      </c>
      <c r="D22" s="7"/>
      <c r="E22" s="7"/>
      <c r="F22" s="31" t="str">
        <f t="shared" si="7"/>
        <v>1d4</v>
      </c>
      <c r="K22" s="148"/>
      <c r="L22" s="149"/>
      <c r="M22" s="149"/>
      <c r="N22" s="67"/>
      <c r="P22" s="57"/>
    </row>
    <row r="23" spans="1:16" ht="15" customHeight="1" thickBot="1" x14ac:dyDescent="0.3">
      <c r="A23" s="13"/>
      <c r="B23" s="32" t="str">
        <f>IF(L24 = 0,"Movement","Movimento")</f>
        <v>Movimento</v>
      </c>
      <c r="C23" s="6">
        <f t="shared" si="6"/>
        <v>1</v>
      </c>
      <c r="D23" s="6"/>
      <c r="E23" s="6"/>
      <c r="F23" s="33" t="str">
        <f t="shared" si="7"/>
        <v>1d4</v>
      </c>
      <c r="P23" s="57"/>
    </row>
    <row r="24" spans="1:16" ht="15" customHeight="1" x14ac:dyDescent="0.25">
      <c r="A24" s="13"/>
      <c r="B24" s="30" t="str">
        <f>IF(L24 = 0,"Prescience","Preciência")</f>
        <v>Preciência</v>
      </c>
      <c r="C24" s="7">
        <f t="shared" si="6"/>
        <v>1</v>
      </c>
      <c r="D24" s="7"/>
      <c r="E24" s="7"/>
      <c r="F24" s="31" t="str">
        <f t="shared" si="7"/>
        <v>1d4</v>
      </c>
      <c r="K24" s="130" t="str">
        <f>IF(L24 = 0, "Language:", "Língua:")</f>
        <v>Língua:</v>
      </c>
      <c r="L24" s="115">
        <v>1</v>
      </c>
      <c r="M24" s="115"/>
      <c r="N24" s="116"/>
      <c r="P24" s="57"/>
    </row>
    <row r="25" spans="1:16" ht="15" customHeight="1" thickBot="1" x14ac:dyDescent="0.3">
      <c r="A25" s="13"/>
      <c r="B25" s="34" t="str">
        <f>IF(L24 = 0,"Protection","Proteção")</f>
        <v>Proteção</v>
      </c>
      <c r="C25" s="35">
        <f t="shared" si="6"/>
        <v>6</v>
      </c>
      <c r="D25" s="35">
        <v>5</v>
      </c>
      <c r="E25" s="35"/>
      <c r="F25" s="36" t="str">
        <f t="shared" si="7"/>
        <v>2d6</v>
      </c>
      <c r="K25" s="131"/>
      <c r="L25" s="117"/>
      <c r="M25" s="117"/>
      <c r="N25" s="118"/>
      <c r="P25" s="57"/>
    </row>
    <row r="26" spans="1:16" ht="16.5" thickTop="1" thickBot="1" x14ac:dyDescent="0.3">
      <c r="K26" s="40">
        <v>0</v>
      </c>
      <c r="L26" s="121" t="str">
        <f>IF(L24 = 0,"English","Inglês")</f>
        <v>Inglês</v>
      </c>
      <c r="M26" s="121"/>
      <c r="N26" s="122"/>
    </row>
    <row r="27" spans="1:16" ht="15.75" thickBot="1" x14ac:dyDescent="0.3">
      <c r="B27" s="132" t="str">
        <f>IF(L24 = 0, "Defense Calculation", "Cálculo de Defesa")</f>
        <v>Cálculo de Defesa</v>
      </c>
      <c r="C27" s="133"/>
      <c r="D27" s="133"/>
      <c r="E27" s="133"/>
      <c r="F27" s="134"/>
      <c r="K27" s="41">
        <v>1</v>
      </c>
      <c r="L27" s="119" t="str">
        <f>IF(L24 = 0,"Portuguese","Português")</f>
        <v>Português</v>
      </c>
      <c r="M27" s="119"/>
      <c r="N27" s="120"/>
    </row>
    <row r="28" spans="1:16" ht="15.75" thickBot="1" x14ac:dyDescent="0.3">
      <c r="B28" s="135" t="str">
        <f>IF(L24 = 0, "Pre-Defense", "Antes da Defesa")</f>
        <v>Antes da Defesa</v>
      </c>
      <c r="C28" s="136"/>
      <c r="D28" s="143" t="str">
        <f>IF(L24 = 0, "Post-Defense", "Pós-Defesa")</f>
        <v>Pós-Defesa</v>
      </c>
      <c r="E28" s="144"/>
      <c r="F28" s="145"/>
    </row>
    <row r="29" spans="1:16" ht="15.75" thickBot="1" x14ac:dyDescent="0.3">
      <c r="B29" s="137"/>
      <c r="C29" s="138"/>
      <c r="D29" s="138" t="str">
        <f>IF(B29 = "", "", IF(L14+N14 &lt; 0, B29 - (L12+N12), IF(ROUNDUP(B29 * 10/(L14+N14+10) - (L12+N12), 0) &gt;= 0, ROUNDUP(B29 * 10/(L14+N14+10) - (L12+N12), 0), 0)))</f>
        <v/>
      </c>
      <c r="E29" s="138"/>
      <c r="F29" s="141"/>
      <c r="K29" s="42" t="str">
        <f>IF(L24 = 0, "Size:", "Tamanho:")</f>
        <v>Tamanho:</v>
      </c>
      <c r="L29" s="127">
        <v>5</v>
      </c>
      <c r="M29" s="128"/>
      <c r="N29" s="129"/>
    </row>
    <row r="30" spans="1:16" ht="15.75" thickBot="1" x14ac:dyDescent="0.3">
      <c r="B30" s="139"/>
      <c r="C30" s="140"/>
      <c r="D30" s="140"/>
      <c r="E30" s="140"/>
      <c r="F30" s="142"/>
    </row>
    <row r="31" spans="1:16" ht="9.75" customHeight="1" thickBot="1" x14ac:dyDescent="0.3"/>
    <row r="32" spans="1:16" ht="48.75" customHeight="1" thickBot="1" x14ac:dyDescent="0.3">
      <c r="B32" s="55" t="s">
        <v>6</v>
      </c>
      <c r="C32" s="114">
        <v>23</v>
      </c>
      <c r="D32" s="114"/>
      <c r="E32" s="54" t="s">
        <v>0</v>
      </c>
      <c r="F32" s="56">
        <f xml:space="preserve"> 10 + 3*(D6+E6) + 2*(D5+E5) + D7+E7</f>
        <v>23</v>
      </c>
      <c r="H32" s="43" t="str">
        <f>IF(L24 = 0, "Skill / Perk / Feat", "Habilidade / Perícia")</f>
        <v>Habilidade / Perícia</v>
      </c>
      <c r="I32" s="44" t="str">
        <f>IF(L24 = 0, "Description", "Descrição")</f>
        <v>Descrição</v>
      </c>
      <c r="J32" s="44" t="str">
        <f>IF(L24 = 0, "Attribute", "Atributo")</f>
        <v>Atributo</v>
      </c>
      <c r="K32" s="44" t="str">
        <f>IF(L24 = 0, "Cost", "Custo")</f>
        <v>Custo</v>
      </c>
    </row>
    <row r="33" spans="8:11" ht="30" customHeight="1" x14ac:dyDescent="0.25">
      <c r="H33" s="51" t="s">
        <v>8</v>
      </c>
      <c r="I33" s="59" t="s">
        <v>24</v>
      </c>
      <c r="J33" s="49" t="str">
        <f>IF(L24 = 0,"Protection, Creation","Proteção, Criação")</f>
        <v>Proteção, Criação</v>
      </c>
      <c r="K33" s="49" t="s">
        <v>22</v>
      </c>
    </row>
    <row r="34" spans="8:11" ht="45" x14ac:dyDescent="0.25">
      <c r="H34" s="51" t="s">
        <v>7</v>
      </c>
      <c r="I34" s="59" t="s">
        <v>23</v>
      </c>
      <c r="J34" s="49" t="str">
        <f>IF(L24 = 0,"Energy","Energia")</f>
        <v>Energia</v>
      </c>
      <c r="K34" s="49" t="s">
        <v>18</v>
      </c>
    </row>
    <row r="35" spans="8:11" ht="30" x14ac:dyDescent="0.25">
      <c r="H35" s="51" t="s">
        <v>10</v>
      </c>
      <c r="I35" s="59" t="s">
        <v>20</v>
      </c>
      <c r="J35" s="49" t="str">
        <f>IF(L24 = 0,"Creation","Criação")</f>
        <v>Criação</v>
      </c>
      <c r="K35" s="49" t="s">
        <v>19</v>
      </c>
    </row>
    <row r="36" spans="8:11" ht="30" x14ac:dyDescent="0.25">
      <c r="H36" s="51" t="s">
        <v>9</v>
      </c>
      <c r="I36" s="59" t="s">
        <v>21</v>
      </c>
      <c r="J36" s="49" t="str">
        <f>IF(L24 = 0,"Creation","Criação")</f>
        <v>Criação</v>
      </c>
      <c r="K36" s="49" t="s">
        <v>17</v>
      </c>
    </row>
    <row r="37" spans="8:11" x14ac:dyDescent="0.25">
      <c r="H37" s="51"/>
      <c r="I37" s="50"/>
      <c r="J37" s="49"/>
      <c r="K37" s="49"/>
    </row>
    <row r="38" spans="8:11" x14ac:dyDescent="0.25">
      <c r="H38" s="51"/>
      <c r="I38" s="50"/>
      <c r="J38" s="49"/>
      <c r="K38" s="49"/>
    </row>
    <row r="39" spans="8:11" x14ac:dyDescent="0.25">
      <c r="H39" s="45"/>
      <c r="I39" s="45"/>
      <c r="J39" s="45"/>
    </row>
  </sheetData>
  <mergeCells count="43">
    <mergeCell ref="C32:D32"/>
    <mergeCell ref="L24:N25"/>
    <mergeCell ref="L27:N27"/>
    <mergeCell ref="L26:N26"/>
    <mergeCell ref="L7:L8"/>
    <mergeCell ref="M7:M8"/>
    <mergeCell ref="N7:N8"/>
    <mergeCell ref="L29:N29"/>
    <mergeCell ref="K24:K25"/>
    <mergeCell ref="B27:F27"/>
    <mergeCell ref="B28:C28"/>
    <mergeCell ref="B29:C30"/>
    <mergeCell ref="D29:F30"/>
    <mergeCell ref="D28:F28"/>
    <mergeCell ref="K21:M22"/>
    <mergeCell ref="N17:N18"/>
    <mergeCell ref="B2:F2"/>
    <mergeCell ref="B17:F17"/>
    <mergeCell ref="B13:F13"/>
    <mergeCell ref="B8:F8"/>
    <mergeCell ref="B4:F4"/>
    <mergeCell ref="L2:N3"/>
    <mergeCell ref="L4:N5"/>
    <mergeCell ref="K4:K5"/>
    <mergeCell ref="K7:K8"/>
    <mergeCell ref="P2:R3"/>
    <mergeCell ref="K2:K3"/>
    <mergeCell ref="L9:L10"/>
    <mergeCell ref="K9:K10"/>
    <mergeCell ref="K12:K13"/>
    <mergeCell ref="K17:M18"/>
    <mergeCell ref="K19:M20"/>
    <mergeCell ref="K14:K15"/>
    <mergeCell ref="L12:L13"/>
    <mergeCell ref="L14:L15"/>
    <mergeCell ref="M12:M13"/>
    <mergeCell ref="N14:N15"/>
    <mergeCell ref="M14:M15"/>
    <mergeCell ref="N19:N20"/>
    <mergeCell ref="N21:N22"/>
    <mergeCell ref="M9:M10"/>
    <mergeCell ref="N9:N10"/>
    <mergeCell ref="N12:N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XPPlus">
          <controlPr defaultSize="0" autoLine="0" r:id="rId5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4" name="XPPlus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1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2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4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5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6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7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8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9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0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1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2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3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2"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2018-02-13T19:23:07Z</dcterms:modified>
</cp:coreProperties>
</file>