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Luthiery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J38" i="1" l="1"/>
  <c r="H38" i="1"/>
  <c r="J37" i="1"/>
  <c r="H37" i="1"/>
  <c r="J36" i="1"/>
  <c r="H36" i="1"/>
  <c r="J35" i="1"/>
  <c r="H35" i="1"/>
  <c r="J34" i="1"/>
  <c r="H34" i="1"/>
  <c r="J33" i="1"/>
  <c r="H33" i="1"/>
  <c r="M14" i="1"/>
  <c r="M12" i="1"/>
  <c r="D29" i="1" l="1"/>
  <c r="N9" i="1" l="1"/>
  <c r="N7" i="1"/>
  <c r="L14" i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6" i="1"/>
  <c r="F5" i="1"/>
  <c r="C5" i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B20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5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<sst xmlns="http://schemas.openxmlformats.org/spreadsheetml/2006/main" count="24" uniqueCount="20">
  <si>
    <t>/</t>
  </si>
  <si>
    <t>LEVEL</t>
  </si>
  <si>
    <t>XP</t>
  </si>
  <si>
    <t>HP:</t>
  </si>
  <si>
    <t>MANA:</t>
  </si>
  <si>
    <t>Qnt</t>
  </si>
  <si>
    <t>4 de mana</t>
  </si>
  <si>
    <t>6 de mana</t>
  </si>
  <si>
    <t>3 de mana</t>
  </si>
  <si>
    <t>Salta incrívelmente alto, energizando as próprias pernas com mana. Ação Maior.</t>
  </si>
  <si>
    <t>Flecha</t>
  </si>
  <si>
    <t>Arco</t>
  </si>
  <si>
    <t>Usa Agilidade</t>
  </si>
  <si>
    <t>Adaga</t>
  </si>
  <si>
    <t>Imbue uma flecha, já pronta para atirar, com um elemento. A escolha é entre Fogo, Gelo e Raio. Ação Menor</t>
  </si>
  <si>
    <t>Transmuta o formato de uma flecha já pronta pra atirar, mudando sua eventual tragetória. Ação Menor</t>
  </si>
  <si>
    <t>Energiza as próprias pernas, ganhando velocidade de movimento e evasão. Ação Maior.</t>
  </si>
  <si>
    <t>Foca a mana nos olhos, ajudando a enxergar os alvos no escuro por 4 turnos. Ação Maior.</t>
  </si>
  <si>
    <t>Foca unicamente em um alvo, ignorando todos os outros estimulos. Desaparece quando o combate acaba, ou o alvo morre. Ação Maior.</t>
  </si>
  <si>
    <t>Usa Agilidade-2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</si>
</sst>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5" fillId="12" borderId="11" xfId="11" applyBorder="1"/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53" displayName="Table53" ref="H33:K38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P5:R7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zoomScale="130" zoomScaleNormal="130" workbookViewId="0">
      <selection activeCell="P6" sqref="P6"/>
    </sheetView>
  </sheetViews>
  <sheetFormatPr defaultRowHeight="15" x14ac:dyDescent="0.25"/>
  <cols>
    <col min="2" max="2" width="12.2851562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4.28515625" customWidth="1"/>
    <col min="8" max="8" width="11.42578125" customWidth="1"/>
    <col min="9" max="9" width="62.42578125" customWidth="1"/>
    <col min="10" max="10" width="11.28515625" bestFit="1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5.7109375" customWidth="1"/>
    <col min="18" max="18" width="42.85546875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86" t="str">
        <f>IF(L24 = 0,"Attributes","Atributos")</f>
        <v>Atributos</v>
      </c>
      <c r="C2" s="87"/>
      <c r="D2" s="87"/>
      <c r="E2" s="87"/>
      <c r="F2" s="88"/>
      <c r="H2" s="47" t="str">
        <f>IF(L24 = 0, "Name:", "Nome:")</f>
        <v>Nome:</v>
      </c>
      <c r="I2" s="40"/>
      <c r="K2" s="105" t="s">
        <v>2</v>
      </c>
      <c r="L2" s="101">
        <v>0</v>
      </c>
      <c r="M2" s="101"/>
      <c r="N2" s="102"/>
      <c r="P2" s="109" t="str">
        <f>IF(L24=0,"Inventory", "Inventário")</f>
        <v>Inventário</v>
      </c>
      <c r="Q2" s="109"/>
      <c r="R2" s="109"/>
    </row>
    <row r="3" spans="1:18" ht="15.75" customHeight="1" thickBot="1" x14ac:dyDescent="0.3">
      <c r="A3" s="13"/>
      <c r="B3" s="37" t="str">
        <f>IF(L24 = 0,"Name","Nome")</f>
        <v>Nome</v>
      </c>
      <c r="C3" s="38" t="str">
        <f>IF(L24 = 0,"Cost","Custo")</f>
        <v>Custo</v>
      </c>
      <c r="D3" s="38" t="str">
        <f>IF(L24 = 0,"Score","Valor")</f>
        <v>Valor</v>
      </c>
      <c r="E3" s="38" t="str">
        <f>IF(L24=0, "Bonus", "Bonus")</f>
        <v>Bonus</v>
      </c>
      <c r="F3" s="39" t="str">
        <f>IF(L24 = 0,"Dice","Dado")</f>
        <v>Dado</v>
      </c>
      <c r="H3" s="48"/>
      <c r="K3" s="106"/>
      <c r="L3" s="103"/>
      <c r="M3" s="103"/>
      <c r="N3" s="104"/>
      <c r="O3" s="2"/>
      <c r="P3" s="109"/>
      <c r="Q3" s="109"/>
      <c r="R3" s="109"/>
    </row>
    <row r="4" spans="1:18" ht="15" customHeight="1" x14ac:dyDescent="0.25">
      <c r="A4" s="13"/>
      <c r="B4" s="98" t="str">
        <f>IF(L24 = 0,"Physical","Físicos")</f>
        <v>Físicos</v>
      </c>
      <c r="C4" s="99"/>
      <c r="D4" s="99"/>
      <c r="E4" s="99"/>
      <c r="F4" s="100"/>
      <c r="K4" s="105" t="s">
        <v>1</v>
      </c>
      <c r="L4" s="101">
        <v>0</v>
      </c>
      <c r="M4" s="101"/>
      <c r="N4" s="102"/>
      <c r="P4" s="49" t="s">
        <v>5</v>
      </c>
      <c r="Q4" s="49" t="str">
        <f>IF(L24 = 0, "Item", "Item")</f>
        <v>Item</v>
      </c>
      <c r="R4" s="49" t="str">
        <f>IF(L24 = 0, "Description", "Descrição")</f>
        <v>Descrição</v>
      </c>
    </row>
    <row r="5" spans="1:18" ht="15.75" customHeight="1" thickBot="1" x14ac:dyDescent="0.3">
      <c r="A5" s="13"/>
      <c r="B5" s="14" t="str">
        <f>IF(L24 = 0,"Agility","Agilidade")</f>
        <v>Agilidade</v>
      </c>
      <c r="C5" s="3">
        <f>IFERROR(_xlfn.NUMBERVALUE(D5), 0) + 1</f>
        <v>7</v>
      </c>
      <c r="D5" s="3">
        <v>6</v>
      </c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))))))))))</f>
        <v>2d8</v>
      </c>
      <c r="K5" s="106"/>
      <c r="L5" s="103"/>
      <c r="M5" s="103"/>
      <c r="N5" s="104"/>
      <c r="P5" s="53">
        <v>36</v>
      </c>
      <c r="Q5" s="53" t="s">
        <v>10</v>
      </c>
      <c r="R5" s="54"/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3</v>
      </c>
      <c r="D6" s="4">
        <v>2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))))))))))</f>
        <v>1d6</v>
      </c>
      <c r="L6" s="1"/>
      <c r="M6" s="1"/>
      <c r="N6" s="1"/>
      <c r="P6" s="53">
        <v>1</v>
      </c>
      <c r="Q6" s="53" t="s">
        <v>11</v>
      </c>
      <c r="R6" s="54" t="s">
        <v>12</v>
      </c>
    </row>
    <row r="7" spans="1:18" ht="15" customHeight="1" thickBot="1" x14ac:dyDescent="0.3">
      <c r="A7" s="13"/>
      <c r="B7" s="18" t="str">
        <f>IF(L24 = 0,"Might","Força")</f>
        <v>Força</v>
      </c>
      <c r="C7" s="3">
        <f t="shared" si="0"/>
        <v>1</v>
      </c>
      <c r="D7" s="5"/>
      <c r="E7" s="5"/>
      <c r="F7" s="19" t="str">
        <f t="shared" si="1"/>
        <v>1d4</v>
      </c>
      <c r="K7" s="107" t="s">
        <v>3</v>
      </c>
      <c r="L7" s="110">
        <v>17</v>
      </c>
      <c r="M7" s="110" t="s">
        <v>0</v>
      </c>
      <c r="N7" s="112">
        <f xml:space="preserve"> 10 + 2*(D6+E6) + 2*(D16+E16) + D12+E12 + _xlfn.FLOOR.MATH(1.5*(D7+E7)) + 2 * L4</f>
        <v>17</v>
      </c>
      <c r="P7" s="53">
        <v>2</v>
      </c>
      <c r="Q7" s="53" t="s">
        <v>13</v>
      </c>
      <c r="R7" s="54" t="s">
        <v>19</v>
      </c>
    </row>
    <row r="8" spans="1:18" ht="15" customHeight="1" thickBot="1" x14ac:dyDescent="0.3">
      <c r="A8" s="13"/>
      <c r="B8" s="95" t="str">
        <f>IF(L24 = 0,"Mental","Mentais")</f>
        <v>Mentais</v>
      </c>
      <c r="C8" s="96"/>
      <c r="D8" s="96"/>
      <c r="E8" s="96"/>
      <c r="F8" s="97"/>
      <c r="K8" s="108"/>
      <c r="L8" s="111"/>
      <c r="M8" s="111"/>
      <c r="N8" s="113"/>
    </row>
    <row r="9" spans="1:18" ht="15.75" customHeight="1" x14ac:dyDescent="0.25">
      <c r="A9" s="13"/>
      <c r="B9" s="20" t="str">
        <f>IF(L24 = 0,"Learning","Aprendizado")</f>
        <v>Aprendizado</v>
      </c>
      <c r="C9" s="8">
        <f t="shared" ref="C9:C12" si="2">IFERROR(_xlfn.NUMBERVALUE(D9), 0) + 1</f>
        <v>3</v>
      </c>
      <c r="D9" s="8">
        <v>2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))))))))))</f>
        <v>1d6</v>
      </c>
      <c r="K9" s="126" t="s">
        <v>4</v>
      </c>
      <c r="L9" s="114">
        <v>30</v>
      </c>
      <c r="M9" s="114" t="s">
        <v>0</v>
      </c>
      <c r="N9" s="116">
        <f xml:space="preserve"> 10 + 3*(D9 + E9) + 2*(D12 + E12) + _xlfn.CEILING.MATH(1.5*MAX(D18+E18, D19+E19, D20+E20, D21+E21, D22+E22, D23+E23, D24+E24, D25+E25))</f>
        <v>30</v>
      </c>
    </row>
    <row r="10" spans="1:18" ht="15" customHeight="1" thickBot="1" x14ac:dyDescent="0.3">
      <c r="A10" s="13"/>
      <c r="B10" s="22" t="str">
        <f>IF(L24 = 0,"Logic","Lógica")</f>
        <v>Lógica</v>
      </c>
      <c r="C10" s="9">
        <f t="shared" si="2"/>
        <v>1</v>
      </c>
      <c r="D10" s="9"/>
      <c r="E10" s="9"/>
      <c r="F10" s="23" t="str">
        <f t="shared" si="3"/>
        <v>1d4</v>
      </c>
      <c r="K10" s="127"/>
      <c r="L10" s="115"/>
      <c r="M10" s="115"/>
      <c r="N10" s="117"/>
    </row>
    <row r="11" spans="1:18" ht="15" customHeight="1" thickBot="1" x14ac:dyDescent="0.3">
      <c r="A11" s="13"/>
      <c r="B11" s="20" t="str">
        <f>IF(L24 = 0,"Perception","Percepção")</f>
        <v>Percepção</v>
      </c>
      <c r="C11" s="8">
        <f>IFERROR(_xlfn.NUMBERVALUE(D11), 0) + 1</f>
        <v>4</v>
      </c>
      <c r="D11" s="8">
        <v>3</v>
      </c>
      <c r="E11" s="8"/>
      <c r="F11" s="21" t="str">
        <f t="shared" si="3"/>
        <v>1d8</v>
      </c>
    </row>
    <row r="12" spans="1:18" ht="15" customHeight="1" thickBot="1" x14ac:dyDescent="0.3">
      <c r="A12" s="13"/>
      <c r="B12" s="22" t="str">
        <f>IF(L24 = 0,"Will","Vontade")</f>
        <v>Vontade</v>
      </c>
      <c r="C12" s="9">
        <f t="shared" si="2"/>
        <v>4</v>
      </c>
      <c r="D12" s="9">
        <v>3</v>
      </c>
      <c r="E12" s="9"/>
      <c r="F12" s="23" t="str">
        <f t="shared" si="3"/>
        <v>1d8</v>
      </c>
      <c r="K12" s="128" t="str">
        <f>IF(L24 = 0, "GUARD", "GUARD")</f>
        <v>GUARD</v>
      </c>
      <c r="L12" s="140">
        <f>IF(OR(D5 + E5&gt;1.5*(D7 + E7), IFERROR(_xlfn.NUMBERVALUE(L29), 0) = 0), 0, _xlfn.FLOOR.MATH(2*D7 + 2*E7 + 1.5*D6 + 1.5*E6 + 2.5*D25 +2.5*E25 + L29-5))</f>
        <v>0</v>
      </c>
      <c r="M12" s="140" t="str">
        <f>IF(N12 &gt;= 0, "+", "")</f>
        <v>+</v>
      </c>
      <c r="N12" s="118"/>
    </row>
    <row r="13" spans="1:18" ht="15" customHeight="1" x14ac:dyDescent="0.25">
      <c r="A13" s="13"/>
      <c r="B13" s="92" t="str">
        <f>IF(L24 = 0,"Social","Sociais")</f>
        <v>Sociais</v>
      </c>
      <c r="C13" s="93"/>
      <c r="D13" s="93"/>
      <c r="E13" s="93"/>
      <c r="F13" s="94"/>
      <c r="K13" s="129"/>
      <c r="L13" s="141"/>
      <c r="M13" s="141"/>
      <c r="N13" s="119"/>
    </row>
    <row r="14" spans="1:18" ht="15" customHeight="1" x14ac:dyDescent="0.25">
      <c r="A14" s="13"/>
      <c r="B14" s="24" t="str">
        <f>IF(L24 = 0,"Deception","Enganação")</f>
        <v>Enganação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))))))))))</f>
        <v>1d4</v>
      </c>
      <c r="K14" s="138" t="str">
        <f>IF(L24 = 0, "DODGE", "EVASÃO")</f>
        <v>EVASÃO</v>
      </c>
      <c r="L14" s="142">
        <f>IF(OR(D7 + E7&gt;1.5*(D5 + E5), IFERROR(_xlfn.NUMBERVALUE(L29), 0) = 0), 0, ROUND(0.75*(D5 + E5) + 0.5*(D11 + E11) - 0.5*(D7 + E7) - 0.5*(L29 - 5), 0))</f>
        <v>7</v>
      </c>
      <c r="M14" s="142" t="str">
        <f>IF(N14 &gt;= 0, "+", "")</f>
        <v>+</v>
      </c>
      <c r="N14" s="144"/>
    </row>
    <row r="15" spans="1:18" ht="15" customHeight="1" thickBot="1" x14ac:dyDescent="0.3">
      <c r="A15" s="13"/>
      <c r="B15" s="26" t="str">
        <f>IF(L24 = 0,"Persuation","Persuasão")</f>
        <v>Persuasão</v>
      </c>
      <c r="C15" s="12">
        <f t="shared" si="4"/>
        <v>1</v>
      </c>
      <c r="D15" s="12"/>
      <c r="E15" s="12"/>
      <c r="F15" s="27" t="str">
        <f t="shared" si="5"/>
        <v>1d4</v>
      </c>
      <c r="K15" s="139"/>
      <c r="L15" s="143"/>
      <c r="M15" s="143"/>
      <c r="N15" s="145"/>
    </row>
    <row r="16" spans="1:18" ht="15" customHeight="1" thickBot="1" x14ac:dyDescent="0.3">
      <c r="A16" s="13"/>
      <c r="B16" s="28" t="str">
        <f>IF(L24 = 0,"Presence","Presença")</f>
        <v>Presença</v>
      </c>
      <c r="C16" s="11">
        <f t="shared" si="4"/>
        <v>1</v>
      </c>
      <c r="D16" s="11"/>
      <c r="E16" s="11"/>
      <c r="F16" s="29" t="str">
        <f t="shared" si="5"/>
        <v>1d4</v>
      </c>
    </row>
    <row r="17" spans="1:14" ht="15" customHeight="1" x14ac:dyDescent="0.25">
      <c r="A17" s="13"/>
      <c r="B17" s="89" t="str">
        <f>IF(L24 = 0,"Extraordinary","Extraordinários")</f>
        <v>Extraordinários</v>
      </c>
      <c r="C17" s="90"/>
      <c r="D17" s="90"/>
      <c r="E17" s="90"/>
      <c r="F17" s="91"/>
      <c r="K17" s="130" t="str">
        <f>IF(L24 = 0, "Skill Points", "Pontos de Habilidade")</f>
        <v>Pontos de Habilidade</v>
      </c>
      <c r="L17" s="131"/>
      <c r="M17" s="131"/>
      <c r="N17" s="124">
        <v>0</v>
      </c>
    </row>
    <row r="18" spans="1:14" x14ac:dyDescent="0.25">
      <c r="A18" s="13"/>
      <c r="B18" s="30" t="str">
        <f>IF(L24 = 0,"Alteration","Alteração")</f>
        <v>Alteração</v>
      </c>
      <c r="C18" s="7">
        <f t="shared" ref="C18:C25" si="6">IFERROR(_xlfn.NUMBERVALUE(D18), 0) + 1</f>
        <v>5</v>
      </c>
      <c r="D18" s="7">
        <v>4</v>
      </c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))))))))))</f>
        <v>1d10</v>
      </c>
      <c r="K18" s="132"/>
      <c r="L18" s="133"/>
      <c r="M18" s="133"/>
      <c r="N18" s="125"/>
    </row>
    <row r="19" spans="1:14" x14ac:dyDescent="0.25">
      <c r="A19" s="13"/>
      <c r="B19" s="32" t="str">
        <f>IF(L24 = 0,"Creation","Criação")</f>
        <v>Criação</v>
      </c>
      <c r="C19" s="6">
        <f t="shared" si="6"/>
        <v>1</v>
      </c>
      <c r="D19" s="6"/>
      <c r="E19" s="6"/>
      <c r="F19" s="33" t="str">
        <f t="shared" si="7"/>
        <v>1d4</v>
      </c>
      <c r="K19" s="134" t="str">
        <f>IF(L24= 0, "Attribute Points", "Pontos de Atributo")</f>
        <v>Pontos de Atributo</v>
      </c>
      <c r="L19" s="135"/>
      <c r="M19" s="135"/>
      <c r="N19" s="55">
        <v>0</v>
      </c>
    </row>
    <row r="20" spans="1:14" x14ac:dyDescent="0.25">
      <c r="A20" s="13"/>
      <c r="B20" s="30" t="str">
        <f>IF(L24 = 0,"Energy","Energia")</f>
        <v>Energia</v>
      </c>
      <c r="C20" s="7">
        <f t="shared" si="6"/>
        <v>6</v>
      </c>
      <c r="D20" s="7">
        <v>5</v>
      </c>
      <c r="E20" s="7"/>
      <c r="F20" s="31" t="str">
        <f t="shared" si="7"/>
        <v>2d6</v>
      </c>
      <c r="K20" s="136"/>
      <c r="L20" s="137"/>
      <c r="M20" s="137"/>
      <c r="N20" s="56"/>
    </row>
    <row r="21" spans="1:14" x14ac:dyDescent="0.25">
      <c r="A21" s="13"/>
      <c r="B21" s="32" t="str">
        <f>IF(L24 = 0,"Entropy","Entropia")</f>
        <v>Entropia</v>
      </c>
      <c r="C21" s="6">
        <f t="shared" si="6"/>
        <v>1</v>
      </c>
      <c r="D21" s="6"/>
      <c r="E21" s="6"/>
      <c r="F21" s="33" t="str">
        <f t="shared" si="7"/>
        <v>1d4</v>
      </c>
      <c r="K21" s="120" t="str">
        <f>IF(L24 = 0, "Feat Points", "Pontos de Perícia")</f>
        <v>Pontos de Perícia</v>
      </c>
      <c r="L21" s="121"/>
      <c r="M21" s="121"/>
      <c r="N21" s="57">
        <v>0</v>
      </c>
    </row>
    <row r="22" spans="1:14" ht="15" customHeight="1" thickBot="1" x14ac:dyDescent="0.3">
      <c r="A22" s="13"/>
      <c r="B22" s="30" t="str">
        <f>IF(L24 = 0,"Influcence","Influência")</f>
        <v>Influência</v>
      </c>
      <c r="C22" s="7">
        <f t="shared" si="6"/>
        <v>1</v>
      </c>
      <c r="D22" s="7"/>
      <c r="E22" s="7"/>
      <c r="F22" s="31" t="str">
        <f t="shared" si="7"/>
        <v>1d4</v>
      </c>
      <c r="K22" s="122"/>
      <c r="L22" s="123"/>
      <c r="M22" s="123"/>
      <c r="N22" s="58"/>
    </row>
    <row r="23" spans="1:14" ht="15" customHeight="1" thickBot="1" x14ac:dyDescent="0.3">
      <c r="A23" s="13"/>
      <c r="B23" s="32" t="str">
        <f>IF(L24 = 0,"Movement","Movimento")</f>
        <v>Movimento</v>
      </c>
      <c r="C23" s="6">
        <f t="shared" si="6"/>
        <v>4</v>
      </c>
      <c r="D23" s="6">
        <v>3</v>
      </c>
      <c r="E23" s="6"/>
      <c r="F23" s="33" t="str">
        <f t="shared" si="7"/>
        <v>1d8</v>
      </c>
    </row>
    <row r="24" spans="1:14" ht="15" customHeight="1" x14ac:dyDescent="0.25">
      <c r="A24" s="13"/>
      <c r="B24" s="30" t="str">
        <f>IF(L24 = 0,"Prescience","Preciência")</f>
        <v>Preciência</v>
      </c>
      <c r="C24" s="7">
        <f t="shared" si="6"/>
        <v>4</v>
      </c>
      <c r="D24" s="7">
        <v>3</v>
      </c>
      <c r="E24" s="7"/>
      <c r="F24" s="31" t="str">
        <f t="shared" si="7"/>
        <v>1d8</v>
      </c>
      <c r="K24" s="62" t="str">
        <f>IF(L24 = 0, "Language:", "Língua:")</f>
        <v>Língua:</v>
      </c>
      <c r="L24" s="78">
        <v>1</v>
      </c>
      <c r="M24" s="78"/>
      <c r="N24" s="79"/>
    </row>
    <row r="25" spans="1:14" ht="15" customHeight="1" thickBot="1" x14ac:dyDescent="0.3">
      <c r="A25" s="13"/>
      <c r="B25" s="34" t="str">
        <f>IF(L24 = 0,"Protection","Proteção")</f>
        <v>Proteção</v>
      </c>
      <c r="C25" s="35">
        <f t="shared" si="6"/>
        <v>1</v>
      </c>
      <c r="D25" s="35"/>
      <c r="E25" s="35"/>
      <c r="F25" s="36" t="str">
        <f t="shared" si="7"/>
        <v>1d4</v>
      </c>
      <c r="K25" s="63"/>
      <c r="L25" s="80"/>
      <c r="M25" s="80"/>
      <c r="N25" s="81"/>
    </row>
    <row r="26" spans="1:14" ht="16.5" thickTop="1" thickBot="1" x14ac:dyDescent="0.3">
      <c r="K26" s="41">
        <v>0</v>
      </c>
      <c r="L26" s="84" t="str">
        <f>IF(L24 = 0,"English","Inglês")</f>
        <v>Inglês</v>
      </c>
      <c r="M26" s="84"/>
      <c r="N26" s="85"/>
    </row>
    <row r="27" spans="1:14" ht="15.75" thickBot="1" x14ac:dyDescent="0.3">
      <c r="B27" s="64" t="str">
        <f>IF(L24 = 0, "Defense Calculation", "Cálculo de Defesa")</f>
        <v>Cálculo de Defesa</v>
      </c>
      <c r="C27" s="65"/>
      <c r="D27" s="65"/>
      <c r="E27" s="65"/>
      <c r="F27" s="66"/>
      <c r="K27" s="42">
        <v>1</v>
      </c>
      <c r="L27" s="82" t="str">
        <f>IF(L24 = 0,"Portuguese","Português")</f>
        <v>Português</v>
      </c>
      <c r="M27" s="82"/>
      <c r="N27" s="83"/>
    </row>
    <row r="28" spans="1:14" ht="15.75" thickBot="1" x14ac:dyDescent="0.3">
      <c r="B28" s="67" t="str">
        <f>IF(L24 = 0, "Pre-Defense", "Antes da Defesa")</f>
        <v>Antes da Defesa</v>
      </c>
      <c r="C28" s="68"/>
      <c r="D28" s="75" t="str">
        <f>IF(L24 = 0, "Post-Defense", "Pós-Defesa")</f>
        <v>Pós-Defesa</v>
      </c>
      <c r="E28" s="76"/>
      <c r="F28" s="77"/>
    </row>
    <row r="29" spans="1:14" ht="15.75" thickBot="1" x14ac:dyDescent="0.3">
      <c r="B29" s="69"/>
      <c r="C29" s="70"/>
      <c r="D29" s="70" t="str">
        <f>IF(B29 = "", "", IF(L14+N14 &lt; 0, B29 - (L12+N12), IF(ROUNDUP(B29 * 10/(L14+N14+10) - (L12+N12), 0) &gt;= 0, ROUNDUP(B29 * 10/(L14+N14+10) - (L12+N12), 0), 0)))</f>
        <v/>
      </c>
      <c r="E29" s="70"/>
      <c r="F29" s="73"/>
      <c r="K29" s="43" t="str">
        <f>IF(L24 = 0, "Size:", "Tamanho:")</f>
        <v>Tamanho:</v>
      </c>
      <c r="L29" s="59">
        <v>4</v>
      </c>
      <c r="M29" s="60"/>
      <c r="N29" s="61"/>
    </row>
    <row r="30" spans="1:14" ht="15.75" thickBot="1" x14ac:dyDescent="0.3">
      <c r="B30" s="71"/>
      <c r="C30" s="72"/>
      <c r="D30" s="72"/>
      <c r="E30" s="72"/>
      <c r="F30" s="74"/>
    </row>
    <row r="32" spans="1:14" ht="48.75" customHeight="1" x14ac:dyDescent="0.25">
      <c r="H32" s="44" t="str">
        <f>IF(L24 = 0, "Skill / Perk / Feat", "Habilidade / Perícia")</f>
        <v>Habilidade / Perícia</v>
      </c>
      <c r="I32" s="45" t="str">
        <f>IF(L24 = 0, "Description", "Descrição")</f>
        <v>Descrição</v>
      </c>
      <c r="J32" s="45" t="str">
        <f>IF(L24 = 0, "Attribute", "Atributo")</f>
        <v>Atributo</v>
      </c>
      <c r="K32" s="45" t="str">
        <f>IF(L24 = 0, "Cost", "Custo")</f>
        <v>Custo</v>
      </c>
    </row>
    <row r="33" spans="8:11" ht="30" x14ac:dyDescent="0.25">
      <c r="H33" s="52" t="str">
        <f>IF(L24=0, "Elemental Arrow", "Flecha Elemental")</f>
        <v>Flecha Elemental</v>
      </c>
      <c r="I33" s="51" t="s">
        <v>14</v>
      </c>
      <c r="J33" s="50" t="str">
        <f>IF(L24 = 0,"Energy","Energia")</f>
        <v>Energia</v>
      </c>
      <c r="K33" s="50" t="s">
        <v>6</v>
      </c>
    </row>
    <row r="34" spans="8:11" ht="30" x14ac:dyDescent="0.25">
      <c r="H34" s="52" t="str">
        <f>IF(L24=0,"Turning Arrow","Flecha Curva")</f>
        <v>Flecha Curva</v>
      </c>
      <c r="I34" s="51" t="s">
        <v>15</v>
      </c>
      <c r="J34" s="50" t="str">
        <f>IF(L24 = 0,"Alteration","Alteração")</f>
        <v>Alteração</v>
      </c>
      <c r="K34" s="50" t="s">
        <v>7</v>
      </c>
    </row>
    <row r="35" spans="8:11" ht="30" x14ac:dyDescent="0.25">
      <c r="H35" s="52" t="str">
        <f>IF(L24=0,"Naruto Run","Corrida Naruto")</f>
        <v>Corrida Naruto</v>
      </c>
      <c r="I35" s="51" t="s">
        <v>16</v>
      </c>
      <c r="J35" s="50" t="str">
        <f>IF(L24 = 0,"Movement","Movimento")</f>
        <v>Movimento</v>
      </c>
      <c r="K35" s="50" t="s">
        <v>8</v>
      </c>
    </row>
    <row r="36" spans="8:11" ht="30" customHeight="1" x14ac:dyDescent="0.25">
      <c r="H36" s="52" t="str">
        <f>IF(L24=0,"Improved Jump","Salto Aprimorado")</f>
        <v>Salto Aprimorado</v>
      </c>
      <c r="I36" s="51" t="s">
        <v>9</v>
      </c>
      <c r="J36" s="50" t="str">
        <f>IF(L24 = 0,"Movement","Movimento")</f>
        <v>Movimento</v>
      </c>
      <c r="K36" s="50" t="s">
        <v>6</v>
      </c>
    </row>
    <row r="37" spans="8:11" ht="30" x14ac:dyDescent="0.25">
      <c r="H37" s="52" t="str">
        <f>IF(L24=0,"Night Vision","Visão Noturna")</f>
        <v>Visão Noturna</v>
      </c>
      <c r="I37" s="51" t="s">
        <v>17</v>
      </c>
      <c r="J37" s="50" t="str">
        <f>IF(L24 = 0,"Prescience","Preciência")</f>
        <v>Preciência</v>
      </c>
      <c r="K37" s="50" t="s">
        <v>8</v>
      </c>
    </row>
    <row r="38" spans="8:11" ht="30" x14ac:dyDescent="0.25">
      <c r="H38" s="52" t="str">
        <f>IF(L24=0,"Hunter's Mark","Marca do Caçador")</f>
        <v>Marca do Caçador</v>
      </c>
      <c r="I38" s="51" t="s">
        <v>18</v>
      </c>
      <c r="J38" s="50" t="str">
        <f>IF(L24 = 0,"Prescience","Preciência")</f>
        <v>Preciência</v>
      </c>
      <c r="K38" s="50" t="s">
        <v>7</v>
      </c>
    </row>
    <row r="39" spans="8:11" x14ac:dyDescent="0.25">
      <c r="H39" s="46"/>
      <c r="I39" s="46"/>
      <c r="J39" s="46"/>
    </row>
  </sheetData>
  <mergeCells count="42">
    <mergeCell ref="M9:M10"/>
    <mergeCell ref="N9:N10"/>
    <mergeCell ref="N12:N13"/>
    <mergeCell ref="K21:M22"/>
    <mergeCell ref="N17:N18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  <mergeCell ref="N14:N15"/>
    <mergeCell ref="M14:M15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B2:F2"/>
    <mergeCell ref="B17:F17"/>
    <mergeCell ref="B13:F13"/>
    <mergeCell ref="B8:F8"/>
    <mergeCell ref="B4:F4"/>
    <mergeCell ref="N19:N20"/>
    <mergeCell ref="N21:N22"/>
    <mergeCell ref="L29:N29"/>
    <mergeCell ref="K24:K25"/>
    <mergeCell ref="B27:F27"/>
    <mergeCell ref="B28:C28"/>
    <mergeCell ref="B29:C30"/>
    <mergeCell ref="D29:F30"/>
    <mergeCell ref="D28:F28"/>
    <mergeCell ref="L24:N25"/>
    <mergeCell ref="L27:N27"/>
    <mergeCell ref="L26:N2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2018-02-07T20:16:42Z</dcterms:modified>
</cp:coreProperties>
</file>