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Assets\excell sheets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7" i="1"/>
  <c r="G16" i="1"/>
  <c r="G15" i="1"/>
  <c r="G14" i="1"/>
  <c r="G13" i="1"/>
  <c r="G12" i="1"/>
  <c r="G11" i="1"/>
  <c r="G10" i="1"/>
  <c r="G9" i="1"/>
  <c r="G8" i="1"/>
  <c r="G7" i="1"/>
  <c r="G6" i="1"/>
  <c r="G4" i="1"/>
  <c r="G5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A12" i="1"/>
  <c r="A13" i="1"/>
  <c r="A14" i="1" s="1"/>
  <c r="A15" i="1" s="1"/>
  <c r="A16" i="1" s="1"/>
  <c r="A17" i="1" s="1"/>
  <c r="A18" i="1" s="1"/>
  <c r="A10" i="1"/>
  <c r="A11" i="1" s="1"/>
  <c r="A5" i="1" l="1"/>
  <c r="A6" i="1" s="1"/>
  <c r="A7" i="1" s="1"/>
  <c r="A8" i="1" s="1"/>
  <c r="A9" i="1" s="1"/>
  <c r="M15" i="1"/>
  <c r="M7" i="1"/>
  <c r="M13" i="1" l="1"/>
  <c r="P7" i="1"/>
  <c r="P5" i="1"/>
  <c r="M5" i="1"/>
  <c r="M11" i="1"/>
  <c r="P3" i="1"/>
  <c r="M3" i="1"/>
</calcChain>
</file>

<file path=xl/sharedStrings.xml><?xml version="1.0" encoding="utf-8"?>
<sst xmlns="http://schemas.openxmlformats.org/spreadsheetml/2006/main" count="20" uniqueCount="14">
  <si>
    <t>Secret Roll</t>
  </si>
  <si>
    <t>bonus</t>
  </si>
  <si>
    <t>Highest</t>
  </si>
  <si>
    <t>Average</t>
  </si>
  <si>
    <t>Lowest</t>
  </si>
  <si>
    <t>names</t>
  </si>
  <si>
    <t># of Players</t>
  </si>
  <si>
    <t>roll1</t>
  </si>
  <si>
    <t>roll2</t>
  </si>
  <si>
    <t>d20 (2)</t>
  </si>
  <si>
    <t>d20 (1)</t>
  </si>
  <si>
    <t>Normal</t>
  </si>
  <si>
    <t>Advantage</t>
  </si>
  <si>
    <t>Disadvantage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</si>
</sst>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22"/>
      <color rgb="FF006100"/>
      <name val="Calibri"/>
      <family val="2"/>
      <scheme val="minor"/>
    </font>
    <font>
      <sz val="22"/>
      <color rgb="FF9C6500"/>
      <name val="Calibri"/>
      <family val="2"/>
      <scheme val="minor"/>
    </font>
    <font>
      <sz val="22"/>
      <color rgb="FF9C000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B2B2B2"/>
      </bottom>
      <diagonal/>
    </border>
    <border>
      <left style="medium">
        <color indexed="64"/>
      </left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/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8" fillId="16" borderId="0" applyNumberFormat="0" applyBorder="0" applyAlignment="0" applyProtection="0"/>
  </cellStyleXfs>
  <cellXfs count="58">
    <xf numFmtId="0" fontId="0" fillId="0" borderId="0" xfId="0"/>
    <xf numFmtId="0" fontId="0" fillId="0" borderId="0" xfId="0" applyFont="1"/>
    <xf numFmtId="0" fontId="1" fillId="6" borderId="7" xfId="5" applyBorder="1" applyAlignment="1">
      <alignment horizontal="center" vertical="center"/>
    </xf>
    <xf numFmtId="0" fontId="1" fillId="6" borderId="9" xfId="5" applyBorder="1" applyAlignment="1">
      <alignment horizontal="center" vertical="center"/>
    </xf>
    <xf numFmtId="0" fontId="2" fillId="7" borderId="8" xfId="6" applyBorder="1" applyAlignment="1">
      <alignment horizontal="center" vertical="center"/>
    </xf>
    <xf numFmtId="0" fontId="2" fillId="7" borderId="15" xfId="6" applyBorder="1" applyAlignment="1">
      <alignment horizontal="center" vertical="center"/>
    </xf>
    <xf numFmtId="0" fontId="2" fillId="7" borderId="14" xfId="6" applyBorder="1" applyAlignment="1">
      <alignment horizontal="center" vertical="center"/>
    </xf>
    <xf numFmtId="0" fontId="3" fillId="2" borderId="0" xfId="1" applyFont="1" applyAlignment="1">
      <alignment horizontal="center" vertical="center"/>
    </xf>
    <xf numFmtId="0" fontId="0" fillId="0" borderId="0" xfId="0" applyBorder="1"/>
    <xf numFmtId="0" fontId="1" fillId="5" borderId="16" xfId="4" applyBorder="1" applyAlignment="1">
      <alignment horizontal="center" vertical="center"/>
    </xf>
    <xf numFmtId="0" fontId="1" fillId="5" borderId="17" xfId="4" applyBorder="1" applyAlignment="1">
      <alignment horizontal="center" vertical="center"/>
    </xf>
    <xf numFmtId="0" fontId="1" fillId="5" borderId="18" xfId="4" applyBorder="1" applyAlignment="1">
      <alignment horizontal="center" vertical="center"/>
    </xf>
    <xf numFmtId="0" fontId="1" fillId="5" borderId="21" xfId="4" applyBorder="1" applyAlignment="1">
      <alignment horizontal="center" vertical="center"/>
    </xf>
    <xf numFmtId="0" fontId="2" fillId="7" borderId="15" xfId="6" applyBorder="1"/>
    <xf numFmtId="0" fontId="2" fillId="7" borderId="23" xfId="6" applyBorder="1" applyAlignment="1">
      <alignment horizontal="center" vertical="center"/>
    </xf>
    <xf numFmtId="0" fontId="1" fillId="5" borderId="24" xfId="4" applyBorder="1" applyAlignment="1">
      <alignment horizontal="center" vertical="center"/>
    </xf>
    <xf numFmtId="0" fontId="1" fillId="5" borderId="25" xfId="4" applyBorder="1" applyAlignment="1">
      <alignment horizontal="center" vertical="center"/>
    </xf>
    <xf numFmtId="0" fontId="1" fillId="5" borderId="10" xfId="4" applyBorder="1" applyAlignment="1">
      <alignment horizontal="center" vertical="center"/>
    </xf>
    <xf numFmtId="0" fontId="1" fillId="5" borderId="22" xfId="4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1" fillId="5" borderId="19" xfId="4" applyBorder="1" applyAlignment="1">
      <alignment horizontal="center" vertical="center"/>
    </xf>
    <xf numFmtId="0" fontId="1" fillId="5" borderId="20" xfId="4" applyBorder="1" applyAlignment="1">
      <alignment horizontal="center" vertical="center"/>
    </xf>
    <xf numFmtId="0" fontId="1" fillId="5" borderId="28" xfId="4" applyBorder="1" applyAlignment="1">
      <alignment horizontal="center" vertical="center"/>
    </xf>
    <xf numFmtId="0" fontId="1" fillId="5" borderId="29" xfId="4" applyBorder="1" applyAlignment="1">
      <alignment horizontal="center" vertical="center"/>
    </xf>
    <xf numFmtId="0" fontId="1" fillId="6" borderId="30" xfId="5" applyBorder="1" applyAlignment="1">
      <alignment horizontal="center" vertical="center"/>
    </xf>
    <xf numFmtId="0" fontId="1" fillId="6" borderId="31" xfId="5" applyBorder="1" applyAlignment="1">
      <alignment horizontal="center" vertical="center"/>
    </xf>
    <xf numFmtId="0" fontId="5" fillId="9" borderId="4" xfId="8" applyFont="1" applyBorder="1" applyAlignment="1">
      <alignment horizontal="center" vertical="center"/>
    </xf>
    <xf numFmtId="0" fontId="5" fillId="13" borderId="33" xfId="12" applyFont="1" applyBorder="1" applyAlignment="1">
      <alignment horizontal="center" vertical="center"/>
    </xf>
    <xf numFmtId="0" fontId="5" fillId="13" borderId="34" xfId="12" applyFont="1" applyBorder="1" applyAlignment="1">
      <alignment horizontal="center" vertical="center"/>
    </xf>
    <xf numFmtId="0" fontId="11" fillId="15" borderId="1" xfId="14" applyFont="1" applyBorder="1" applyAlignment="1">
      <alignment horizontal="center" vertical="center"/>
    </xf>
    <xf numFmtId="0" fontId="11" fillId="15" borderId="2" xfId="14" applyFont="1" applyBorder="1" applyAlignment="1">
      <alignment horizontal="center" vertical="center"/>
    </xf>
    <xf numFmtId="0" fontId="11" fillId="15" borderId="3" xfId="14" applyFont="1" applyBorder="1" applyAlignment="1">
      <alignment horizontal="center" vertical="center"/>
    </xf>
    <xf numFmtId="0" fontId="11" fillId="15" borderId="16" xfId="14" applyFont="1" applyBorder="1" applyAlignment="1">
      <alignment horizontal="center" vertical="center"/>
    </xf>
    <xf numFmtId="0" fontId="11" fillId="15" borderId="0" xfId="14" applyFont="1" applyBorder="1" applyAlignment="1">
      <alignment horizontal="center" vertical="center"/>
    </xf>
    <xf numFmtId="0" fontId="11" fillId="15" borderId="4" xfId="14" applyFont="1" applyBorder="1" applyAlignment="1">
      <alignment horizontal="center" vertical="center"/>
    </xf>
    <xf numFmtId="0" fontId="10" fillId="16" borderId="1" xfId="15" applyFont="1" applyBorder="1" applyAlignment="1">
      <alignment horizontal="center" vertical="center"/>
    </xf>
    <xf numFmtId="0" fontId="10" fillId="16" borderId="2" xfId="15" applyFont="1" applyBorder="1" applyAlignment="1">
      <alignment horizontal="center" vertical="center"/>
    </xf>
    <xf numFmtId="0" fontId="10" fillId="16" borderId="3" xfId="15" applyFont="1" applyBorder="1" applyAlignment="1">
      <alignment horizontal="center" vertical="center"/>
    </xf>
    <xf numFmtId="0" fontId="3" fillId="10" borderId="16" xfId="9" applyFont="1" applyBorder="1" applyAlignment="1">
      <alignment horizontal="center" vertical="center"/>
    </xf>
    <xf numFmtId="0" fontId="3" fillId="10" borderId="0" xfId="9" applyFont="1" applyBorder="1" applyAlignment="1">
      <alignment horizontal="center" vertical="center"/>
    </xf>
    <xf numFmtId="0" fontId="5" fillId="8" borderId="16" xfId="7" applyFont="1" applyBorder="1" applyAlignment="1">
      <alignment horizontal="center" vertical="center"/>
    </xf>
    <xf numFmtId="0" fontId="5" fillId="8" borderId="0" xfId="7" applyFont="1" applyBorder="1" applyAlignment="1">
      <alignment horizontal="center" vertical="center"/>
    </xf>
    <xf numFmtId="0" fontId="5" fillId="8" borderId="26" xfId="7" applyFont="1" applyBorder="1" applyAlignment="1">
      <alignment horizontal="center" vertical="center"/>
    </xf>
    <xf numFmtId="0" fontId="5" fillId="8" borderId="13" xfId="7" applyFont="1" applyBorder="1" applyAlignment="1">
      <alignment horizontal="center" vertical="center"/>
    </xf>
    <xf numFmtId="0" fontId="5" fillId="12" borderId="27" xfId="11" applyFont="1" applyBorder="1" applyAlignment="1">
      <alignment horizontal="center" vertical="center"/>
    </xf>
    <xf numFmtId="0" fontId="5" fillId="12" borderId="11" xfId="11" applyFont="1" applyBorder="1" applyAlignment="1">
      <alignment horizontal="center" vertical="center"/>
    </xf>
    <xf numFmtId="0" fontId="5" fillId="12" borderId="5" xfId="11" applyFont="1" applyBorder="1" applyAlignment="1">
      <alignment horizontal="center" vertical="center"/>
    </xf>
    <xf numFmtId="0" fontId="5" fillId="12" borderId="6" xfId="11" applyFont="1" applyBorder="1" applyAlignment="1">
      <alignment horizontal="center" vertical="center"/>
    </xf>
    <xf numFmtId="0" fontId="4" fillId="11" borderId="4" xfId="10" applyFont="1" applyBorder="1" applyAlignment="1">
      <alignment horizontal="center" vertical="center"/>
    </xf>
    <xf numFmtId="0" fontId="9" fillId="14" borderId="2" xfId="13" applyFont="1" applyBorder="1" applyAlignment="1">
      <alignment horizontal="center" vertical="center"/>
    </xf>
    <xf numFmtId="0" fontId="9" fillId="14" borderId="3" xfId="13" applyFont="1" applyBorder="1" applyAlignment="1">
      <alignment horizontal="center" vertical="center"/>
    </xf>
    <xf numFmtId="0" fontId="5" fillId="12" borderId="12" xfId="11" applyFont="1" applyBorder="1" applyAlignment="1">
      <alignment horizontal="center" vertical="center"/>
    </xf>
    <xf numFmtId="0" fontId="5" fillId="12" borderId="32" xfId="11" applyFont="1" applyBorder="1" applyAlignment="1">
      <alignment horizontal="center" vertical="center"/>
    </xf>
    <xf numFmtId="0" fontId="2" fillId="4" borderId="1" xfId="3" applyBorder="1" applyAlignment="1">
      <alignment horizontal="center" vertical="center"/>
    </xf>
    <xf numFmtId="0" fontId="2" fillId="4" borderId="5" xfId="3" applyBorder="1" applyAlignment="1">
      <alignment horizontal="center" vertical="center"/>
    </xf>
    <xf numFmtId="0" fontId="5" fillId="3" borderId="0" xfId="2" applyFont="1" applyAlignment="1">
      <alignment horizontal="center"/>
    </xf>
    <xf numFmtId="0" fontId="2" fillId="4" borderId="2" xfId="3" applyBorder="1" applyAlignment="1">
      <alignment horizontal="center" vertical="center"/>
    </xf>
    <xf numFmtId="0" fontId="2" fillId="4" borderId="3" xfId="3" applyBorder="1" applyAlignment="1">
      <alignment horizontal="center" vertical="center"/>
    </xf>
  </cellXfs>
  <cellStyles count="16">
    <cellStyle name="20% - Accent2" xfId="4" builtinId="34"/>
    <cellStyle name="40% - Accent2" xfId="5" builtinId="35"/>
    <cellStyle name="60% - Accent1" xfId="2" builtinId="32"/>
    <cellStyle name="60% - Accent2" xfId="6" builtinId="36"/>
    <cellStyle name="60% - Accent4" xfId="8" builtinId="44"/>
    <cellStyle name="60% - Accent5" xfId="10" builtinId="48"/>
    <cellStyle name="60% - Accent6" xfId="12" builtinId="52"/>
    <cellStyle name="Accent1" xfId="1" builtinId="29"/>
    <cellStyle name="Accent2" xfId="3" builtinId="33"/>
    <cellStyle name="Accent4" xfId="7" builtinId="41"/>
    <cellStyle name="Accent5" xfId="9" builtinId="45"/>
    <cellStyle name="Accent6" xfId="11" builtinId="49"/>
    <cellStyle name="Bad" xfId="14" builtinId="27"/>
    <cellStyle name="Good" xfId="13" builtinId="26"/>
    <cellStyle name="Neutral" xfId="15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5</xdr:row>
          <xdr:rowOff>38100</xdr:rowOff>
        </xdr:from>
        <xdr:to>
          <xdr:col>8</xdr:col>
          <xdr:colOff>1476375</xdr:colOff>
          <xdr:row>9</xdr:row>
          <xdr:rowOff>152400</xdr:rowOff>
        </xdr:to>
        <xdr:sp macro="" textlink="">
          <xdr:nvSpPr>
            <xdr:cNvPr id="1025" name="Ro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8"/>
  <sheetViews>
    <sheetView tabSelected="1" workbookViewId="0">
      <selection activeCell="I15" sqref="I15"/>
    </sheetView>
  </sheetViews>
  <sheetFormatPr defaultRowHeight="15" x14ac:dyDescent="0.25"/>
  <cols>
    <col min="1" max="1" width="5.42578125" customWidth="1"/>
    <col min="2" max="2" width="8" customWidth="1"/>
    <col min="3" max="3" width="6.5703125" customWidth="1"/>
    <col min="4" max="4" width="6.7109375" customWidth="1"/>
    <col min="5" max="5" width="6.42578125" bestFit="1" customWidth="1"/>
    <col min="6" max="6" width="5.7109375" customWidth="1"/>
    <col min="7" max="7" width="6.28515625" customWidth="1"/>
    <col min="8" max="8" width="1.28515625" customWidth="1"/>
    <col min="9" max="9" width="23.42578125" bestFit="1" customWidth="1"/>
    <col min="10" max="10" width="1.5703125" customWidth="1"/>
    <col min="13" max="13" width="7.42578125" customWidth="1"/>
    <col min="14" max="14" width="8.42578125" customWidth="1"/>
  </cols>
  <sheetData>
    <row r="1" spans="1:16" ht="15.75" thickBot="1" x14ac:dyDescent="0.3">
      <c r="B1" s="8"/>
      <c r="C1" s="8"/>
      <c r="D1" s="8"/>
      <c r="E1" s="8"/>
    </row>
    <row r="2" spans="1:16" ht="26.25" customHeight="1" thickBot="1" x14ac:dyDescent="0.3">
      <c r="A2" s="53"/>
      <c r="B2" s="53" t="s">
        <v>0</v>
      </c>
      <c r="C2" s="56"/>
      <c r="D2" s="56"/>
      <c r="E2" s="56"/>
      <c r="F2" s="56"/>
      <c r="G2" s="57"/>
      <c r="I2" s="7" t="s">
        <v>6</v>
      </c>
      <c r="K2" s="35" t="s">
        <v>11</v>
      </c>
      <c r="L2" s="36"/>
      <c r="M2" s="37"/>
      <c r="N2" s="49" t="s">
        <v>12</v>
      </c>
      <c r="O2" s="49"/>
      <c r="P2" s="50"/>
    </row>
    <row r="3" spans="1:16" ht="15.75" customHeight="1" thickBot="1" x14ac:dyDescent="0.3">
      <c r="A3" s="54"/>
      <c r="B3" s="6" t="s">
        <v>5</v>
      </c>
      <c r="C3" s="4" t="s">
        <v>10</v>
      </c>
      <c r="D3" s="13" t="s">
        <v>9</v>
      </c>
      <c r="E3" s="5" t="s">
        <v>1</v>
      </c>
      <c r="F3" s="5" t="s">
        <v>7</v>
      </c>
      <c r="G3" s="14" t="s">
        <v>8</v>
      </c>
      <c r="I3" s="55">
        <v>0</v>
      </c>
      <c r="K3" s="38" t="s">
        <v>2</v>
      </c>
      <c r="L3" s="39"/>
      <c r="M3" s="48">
        <f>MAX($F$2:$F$11)</f>
        <v>0</v>
      </c>
      <c r="N3" s="39" t="s">
        <v>2</v>
      </c>
      <c r="O3" s="39"/>
      <c r="P3" s="48">
        <f>MAX($F$4:$G$13)</f>
        <v>0</v>
      </c>
    </row>
    <row r="4" spans="1:16" ht="15" customHeight="1" x14ac:dyDescent="0.25">
      <c r="A4" s="2">
        <v>1</v>
      </c>
      <c r="B4" s="19"/>
      <c r="C4" s="15"/>
      <c r="D4" s="20"/>
      <c r="E4" s="20"/>
      <c r="F4" s="15" t="str">
        <f>IF($C4 &gt; 0, $C4 + $E4, "")</f>
        <v/>
      </c>
      <c r="G4" s="21" t="str">
        <f t="shared" ref="G4" si="0">IF($D4 &gt; 0, $D4 + $E4, "")</f>
        <v/>
      </c>
      <c r="I4" s="55"/>
      <c r="K4" s="38"/>
      <c r="L4" s="39"/>
      <c r="M4" s="48"/>
      <c r="N4" s="39"/>
      <c r="O4" s="39"/>
      <c r="P4" s="48"/>
    </row>
    <row r="5" spans="1:16" ht="15" customHeight="1" x14ac:dyDescent="0.25">
      <c r="A5" s="24">
        <f>A4+1</f>
        <v>2</v>
      </c>
      <c r="B5" s="10"/>
      <c r="C5" s="11"/>
      <c r="D5" s="11"/>
      <c r="E5" s="11"/>
      <c r="F5" s="11" t="str">
        <f t="shared" ref="F5:F18" si="1">IF($C5 &gt; 0, $C5 + $E5, "")</f>
        <v/>
      </c>
      <c r="G5" s="17" t="str">
        <f>IF($D5 &gt; 0, $D5 + $E5, "")</f>
        <v/>
      </c>
      <c r="K5" s="40" t="s">
        <v>3</v>
      </c>
      <c r="L5" s="41"/>
      <c r="M5" s="26">
        <f>IFERROR(ROUND(AVERAGEIF($F$4:$F$13,"&gt;0"), 1), 0)</f>
        <v>0</v>
      </c>
      <c r="N5" s="41" t="s">
        <v>3</v>
      </c>
      <c r="O5" s="41"/>
      <c r="P5" s="26">
        <f>ROUND(IFERROR(SUM(IF($F$4 &gt; $G$4, $F$4, $G$4), IF($F$5 &gt; $G$5, $F$5, $G$5), IF($F$6 &gt; $G$6, $F$6, $G$6), IF($F$7 &gt; $G$7, $F$7, $G$7), IF($F$8 &gt; $G$8, $F$8, $G$8), IF($F$9 &gt; $G$9, $F$9, $G$9), IF($F$10 &gt; $G$10, $F$10, $G$10), IF($F$11 &gt; $G$11, $F$11, $G$11), IF($F$12 &gt; $G$12, $F$12, $G$12), IF($F$13 &gt; $G$13, $F$13, $G$13), IF($F$14 &gt; $G$14, $F$14, $G$14), IF($F$15 &gt; $G$15, $F$15, $G$15), IF($F$16 &gt; $G$16, $F$16, $G$16), IF($F$17 &gt; $G$17, $F$17, $G$17), IF($F$18 &gt; $G$18, $F$18, $G$18)) / $I$3, 0), 1)</f>
        <v>0</v>
      </c>
    </row>
    <row r="6" spans="1:16" ht="15" customHeight="1" x14ac:dyDescent="0.25">
      <c r="A6" s="3">
        <f t="shared" ref="A6:A15" si="2">A5+1</f>
        <v>3</v>
      </c>
      <c r="B6" s="9"/>
      <c r="C6" s="16"/>
      <c r="D6" s="11"/>
      <c r="E6" s="11"/>
      <c r="F6" s="11" t="str">
        <f t="shared" si="1"/>
        <v/>
      </c>
      <c r="G6" s="17" t="str">
        <f t="shared" ref="G6:G18" si="3">IF($D6 &gt; 0, $D6 + $E6, "")</f>
        <v/>
      </c>
      <c r="K6" s="42"/>
      <c r="L6" s="43"/>
      <c r="M6" s="26"/>
      <c r="N6" s="43"/>
      <c r="O6" s="43"/>
      <c r="P6" s="26"/>
    </row>
    <row r="7" spans="1:16" ht="15" customHeight="1" x14ac:dyDescent="0.25">
      <c r="A7" s="24">
        <f t="shared" si="2"/>
        <v>4</v>
      </c>
      <c r="B7" s="22"/>
      <c r="C7" s="11"/>
      <c r="D7" s="11"/>
      <c r="E7" s="11"/>
      <c r="F7" s="11" t="str">
        <f t="shared" si="1"/>
        <v/>
      </c>
      <c r="G7" s="17" t="str">
        <f t="shared" si="3"/>
        <v/>
      </c>
      <c r="H7" s="1"/>
      <c r="K7" s="44" t="s">
        <v>4</v>
      </c>
      <c r="L7" s="45"/>
      <c r="M7" s="27">
        <f ca="1">IF($I$3 &gt; 0, MIN(INDIRECT("$F$4:$F$"&amp;($I$3+3))), 0)</f>
        <v>0</v>
      </c>
      <c r="N7" s="45" t="s">
        <v>4</v>
      </c>
      <c r="O7" s="51"/>
      <c r="P7" s="27">
        <f>IF(MIN(IF(AND($F$4 = 0, $G$4 = 0), 99999, IF($F$4 &gt; $G$4, $F$4, $G$4)), IF(AND($F$5 = 0, $G$5 = 0), 99999, IF($F$5 &gt; $G$5, $F$5, $G$5)), IF(AND($F$6 = 0, $G$6 = 0), 99999, IF($F$6 &gt; $G$6, $F$6, $G$6)), IF(AND($F$7 = 0, $G$7 = 0), 99999, IF($F$7 &gt; $G$7, $F$7, $G$7)), IF(AND($F$8 = 0, $G$8 = 0), 99999, IF($F$8 &gt; $G$8, $F$8, $G$8)), IF(AND($F$9 = 0, $G$9 = 0), 99999, IF($F$9 &gt; $G$9, $F$9, $G$9)), IF(AND($F$10 = 0, $G$10 = 0), 99999, IF($F$10 &gt; $G$10, $F$10, $G$10)), IF(AND($F$11 = 0, $G$11 = 0), 99999, IF($F$11 &gt; $G$11, $F$11, $G$11)), IF(AND($F$12 = 0, $G$12 = 0), 99999, IF($F$12 &gt; $G$12, $F$12, $G$12)), IF(AND($F$13 = 0, $G$13 = 0), 99999, IF($F$13 &gt; $G$13, $F$13, $G$13)), IF(AND($F$14 = 0, $G$14 = 0), 99999, IF($F$14 &gt; $G$14, $F$14, $G$14)), IF(AND($F$15 = 0, $G$15 = 0), 99999, IF($F$15 &gt; $G$15, $F$15, $G$15)), IF(AND($F$16 = 0, $G$16 = 0), 99999, IF($F$16 &gt; $G$16, $F$16, $G$16)), IF(AND($F$17 = 0, $G$17 = 0), 99999, IF($F$17 &gt; $G$17, $F$17, $G$17)), IF(AND($F$18 = 0, $G$18 = 0), 99999, IF($F$18 &gt; $G$18, $F$18, $G$18))) = 99999, 0, MIN(IF(AND($F$4 = 0, $G$4 = 0), 99999, IF($F$4 &gt; $G$4, $F$4, $G$4)), IF(AND($F$5 = 0, $G$5 = 0), 99999, IF($F$5 &gt; $G$5, $F$5, $G$5)), IF(AND($F$6 = 0, $G$6 = 0), 99999, IF($F$6 &gt; $G$6, $F$6, $G$6)), IF(AND($F$7 = 0, $G$7 = 0), 99999, IF($F$7 &gt; $G$7, $F$7, $G$7)), IF(AND($F$8 = 0, $G$8 = 0), 99999, IF($F$8 &gt; $G$8, $F$8, $G$8)), IF(AND($F$9 = 0, $G$9 = 0), 99999, IF($F$9 &gt; $G$9, $F$9, $G$9)), IF(AND($F$10 = 0, $G$10 = 0), 99999, IF($F$10 &gt; $G$10, $F$10, $G$10)), IF(AND($F$11 = 0, $G$11 = 0), 99999, IF($F$11 &gt; $G$11, $F$11, $G$11)), IF(AND($F$12 = 0, $G$12 = 0), 99999, IF($F$12 &gt; $G$12, $F$12, $G$12)), IF(AND($F$13 = 0, $G$13 = 0), 99999, IF($F$13 &gt; $G$13, $F$13, $G$13)), IF(AND($F$14 = 0, $G$14 = 0), 99999, IF($F$14 &gt; $G$14, $F$14, $G$14)), IF(AND($F$15 = 0, $G$15 = 0), 99999, IF($F$15 &gt; $G$15, $F$15, $G$15)), IF(AND($F$16 = 0, $G$16 = 0), 99999, IF($F$16 &gt; $G$16, $F$16, $G$16)), IF(AND($F$17 = 0, $G$17 = 0), 99999, IF($F$17 &gt; $G$17, $F$17, $G$17)), IF(AND($F$18 = 0, $G$18 = 0), 99999, IF($F$18 &gt; $G$18, $F$18, $G$18))))</f>
        <v>0</v>
      </c>
    </row>
    <row r="8" spans="1:16" ht="15" customHeight="1" thickBot="1" x14ac:dyDescent="0.3">
      <c r="A8" s="24">
        <f t="shared" si="2"/>
        <v>5</v>
      </c>
      <c r="B8" s="22"/>
      <c r="C8" s="11"/>
      <c r="D8" s="11"/>
      <c r="E8" s="11"/>
      <c r="F8" s="11" t="str">
        <f t="shared" si="1"/>
        <v/>
      </c>
      <c r="G8" s="17" t="str">
        <f t="shared" si="3"/>
        <v/>
      </c>
      <c r="K8" s="46"/>
      <c r="L8" s="47"/>
      <c r="M8" s="28"/>
      <c r="N8" s="47"/>
      <c r="O8" s="52"/>
      <c r="P8" s="28"/>
    </row>
    <row r="9" spans="1:16" ht="15" customHeight="1" x14ac:dyDescent="0.25">
      <c r="A9" s="24">
        <f t="shared" si="2"/>
        <v>6</v>
      </c>
      <c r="B9" s="22"/>
      <c r="C9" s="11"/>
      <c r="D9" s="11"/>
      <c r="E9" s="11"/>
      <c r="F9" s="11" t="str">
        <f t="shared" si="1"/>
        <v/>
      </c>
      <c r="G9" s="17" t="str">
        <f t="shared" si="3"/>
        <v/>
      </c>
      <c r="K9" s="29" t="s">
        <v>13</v>
      </c>
      <c r="L9" s="30"/>
      <c r="M9" s="31"/>
    </row>
    <row r="10" spans="1:16" ht="15" customHeight="1" x14ac:dyDescent="0.25">
      <c r="A10" s="24">
        <f t="shared" ref="A10:A18" si="4">A9+1</f>
        <v>7</v>
      </c>
      <c r="B10" s="22"/>
      <c r="C10" s="11"/>
      <c r="D10" s="11"/>
      <c r="E10" s="11"/>
      <c r="F10" s="11" t="str">
        <f t="shared" si="1"/>
        <v/>
      </c>
      <c r="G10" s="17" t="str">
        <f t="shared" si="3"/>
        <v/>
      </c>
      <c r="K10" s="32"/>
      <c r="L10" s="33"/>
      <c r="M10" s="34"/>
    </row>
    <row r="11" spans="1:16" ht="15" customHeight="1" x14ac:dyDescent="0.25">
      <c r="A11" s="24">
        <f t="shared" si="4"/>
        <v>8</v>
      </c>
      <c r="B11" s="22"/>
      <c r="C11" s="11"/>
      <c r="D11" s="11"/>
      <c r="E11" s="11"/>
      <c r="F11" s="11" t="str">
        <f t="shared" si="1"/>
        <v/>
      </c>
      <c r="G11" s="17" t="str">
        <f t="shared" si="3"/>
        <v/>
      </c>
      <c r="K11" s="38" t="s">
        <v>2</v>
      </c>
      <c r="L11" s="39"/>
      <c r="M11" s="48">
        <f>MAX(IF($F$4 &gt;$G$4, $G$4, $F$4), IF($F$5 &gt;$G$5, $G$5, $F$5), IF($F$6 &gt;$G$6, $G$6, $F$6), IF($F$7 &gt;$G$7, $G$7, $F$7), IF($F$8 &gt;$G$8, $G$8, $F$8), IF($F$9 &gt;$G$9, $G$9, $F$9), IF($F$10 &gt;$G$10, $G$10, $F$10), IF($F$11 &gt;$G$11, $G$11, $F$11), IF($F$12 &gt;$G$12, $G$12, $F$12), IF($F$13 &gt;$G$13, $G$13, $F$13), IF($F$14 &gt;$G$14, $G$14, $F$14), IF($F$15 &gt;$G$15, $G$15, $F$15),)</f>
        <v>0</v>
      </c>
    </row>
    <row r="12" spans="1:16" ht="15" customHeight="1" x14ac:dyDescent="0.25">
      <c r="A12" s="24">
        <f t="shared" si="2"/>
        <v>9</v>
      </c>
      <c r="B12" s="22"/>
      <c r="C12" s="11"/>
      <c r="D12" s="11"/>
      <c r="E12" s="11"/>
      <c r="F12" s="11" t="str">
        <f t="shared" si="1"/>
        <v/>
      </c>
      <c r="G12" s="17" t="str">
        <f t="shared" si="3"/>
        <v/>
      </c>
      <c r="K12" s="38"/>
      <c r="L12" s="39"/>
      <c r="M12" s="48"/>
    </row>
    <row r="13" spans="1:16" ht="15" customHeight="1" x14ac:dyDescent="0.25">
      <c r="A13" s="24">
        <f t="shared" si="2"/>
        <v>10</v>
      </c>
      <c r="B13" s="22"/>
      <c r="C13" s="11"/>
      <c r="D13" s="11"/>
      <c r="E13" s="11"/>
      <c r="F13" s="11" t="str">
        <f t="shared" si="1"/>
        <v/>
      </c>
      <c r="G13" s="17" t="str">
        <f t="shared" si="3"/>
        <v/>
      </c>
      <c r="K13" s="40" t="s">
        <v>3</v>
      </c>
      <c r="L13" s="41"/>
      <c r="M13" s="26">
        <f>ROUND(IFERROR(SUM(MIN($F$4:$G$4), MIN($F$5:$G$5), MIN($F$5:$G$5), MIN($F$6:$G$6), MIN($F$7:$G$7), MIN($F$8:$G$8), MIN($F$9:$G$9), MIN($F$10:$G$10), MIN($F$11:$G$11), MIN($F$12:$G$12), MIN($F$13:$G$13), MIN($F$14:$G$14), MIN($F$15:$G$15)) / $I$3, 0), 1)</f>
        <v>0</v>
      </c>
    </row>
    <row r="14" spans="1:16" ht="15" customHeight="1" x14ac:dyDescent="0.25">
      <c r="A14" s="24">
        <f t="shared" si="2"/>
        <v>11</v>
      </c>
      <c r="B14" s="22"/>
      <c r="C14" s="11"/>
      <c r="D14" s="11"/>
      <c r="E14" s="11"/>
      <c r="F14" s="11" t="str">
        <f t="shared" si="1"/>
        <v/>
      </c>
      <c r="G14" s="17" t="str">
        <f t="shared" si="3"/>
        <v/>
      </c>
      <c r="K14" s="42"/>
      <c r="L14" s="43"/>
      <c r="M14" s="26"/>
    </row>
    <row r="15" spans="1:16" ht="15" customHeight="1" x14ac:dyDescent="0.25">
      <c r="A15" s="24">
        <f t="shared" si="2"/>
        <v>12</v>
      </c>
      <c r="B15" s="22"/>
      <c r="C15" s="11"/>
      <c r="D15" s="11"/>
      <c r="E15" s="11"/>
      <c r="F15" s="11" t="str">
        <f t="shared" si="1"/>
        <v/>
      </c>
      <c r="G15" s="17" t="str">
        <f t="shared" si="3"/>
        <v/>
      </c>
      <c r="K15" s="44" t="s">
        <v>4</v>
      </c>
      <c r="L15" s="45"/>
      <c r="M15" s="27">
        <f ca="1">IF($I$3 &gt; 0, MIN(INDIRECT("$F$4:$G$"&amp;($I$3+3))), 0)</f>
        <v>0</v>
      </c>
    </row>
    <row r="16" spans="1:16" ht="15.75" customHeight="1" thickBot="1" x14ac:dyDescent="0.3">
      <c r="A16" s="24">
        <f t="shared" si="4"/>
        <v>13</v>
      </c>
      <c r="B16" s="22"/>
      <c r="C16" s="11"/>
      <c r="D16" s="11"/>
      <c r="E16" s="11"/>
      <c r="F16" s="11" t="str">
        <f t="shared" si="1"/>
        <v/>
      </c>
      <c r="G16" s="17" t="str">
        <f t="shared" si="3"/>
        <v/>
      </c>
      <c r="K16" s="46"/>
      <c r="L16" s="47"/>
      <c r="M16" s="28"/>
    </row>
    <row r="17" spans="1:7" x14ac:dyDescent="0.25">
      <c r="A17" s="24">
        <f t="shared" si="4"/>
        <v>14</v>
      </c>
      <c r="B17" s="22"/>
      <c r="C17" s="11"/>
      <c r="D17" s="11"/>
      <c r="E17" s="11"/>
      <c r="F17" s="11" t="str">
        <f t="shared" si="1"/>
        <v/>
      </c>
      <c r="G17" s="17" t="str">
        <f t="shared" si="3"/>
        <v/>
      </c>
    </row>
    <row r="18" spans="1:7" ht="15.75" thickBot="1" x14ac:dyDescent="0.3">
      <c r="A18" s="25">
        <f t="shared" si="4"/>
        <v>15</v>
      </c>
      <c r="B18" s="23"/>
      <c r="C18" s="12"/>
      <c r="D18" s="12"/>
      <c r="E18" s="12"/>
      <c r="F18" s="12" t="str">
        <f t="shared" si="1"/>
        <v/>
      </c>
      <c r="G18" s="18" t="str">
        <f t="shared" si="3"/>
        <v/>
      </c>
    </row>
  </sheetData>
  <mergeCells count="24">
    <mergeCell ref="A2:A3"/>
    <mergeCell ref="I3:I4"/>
    <mergeCell ref="B2:G2"/>
    <mergeCell ref="K13:L14"/>
    <mergeCell ref="K15:L16"/>
    <mergeCell ref="M15:M16"/>
    <mergeCell ref="M13:M14"/>
    <mergeCell ref="M11:M12"/>
    <mergeCell ref="P5:P6"/>
    <mergeCell ref="P7:P8"/>
    <mergeCell ref="K9:M10"/>
    <mergeCell ref="K2:M2"/>
    <mergeCell ref="K11:L12"/>
    <mergeCell ref="M3:M4"/>
    <mergeCell ref="M5:M6"/>
    <mergeCell ref="M7:M8"/>
    <mergeCell ref="N2:P2"/>
    <mergeCell ref="N3:O4"/>
    <mergeCell ref="N5:O6"/>
    <mergeCell ref="N7:O8"/>
    <mergeCell ref="P3:P4"/>
    <mergeCell ref="K3:L4"/>
    <mergeCell ref="K5:L6"/>
    <mergeCell ref="K7:L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oll">
          <controlPr defaultSize="0" autoLine="0" r:id="rId5">
            <anchor moveWithCells="1">
              <from>
                <xdr:col>8</xdr:col>
                <xdr:colOff>123825</xdr:colOff>
                <xdr:row>5</xdr:row>
                <xdr:rowOff>38100</xdr:rowOff>
              </from>
              <to>
                <xdr:col>8</xdr:col>
                <xdr:colOff>1476375</xdr:colOff>
                <xdr:row>9</xdr:row>
                <xdr:rowOff>152400</xdr:rowOff>
              </to>
            </anchor>
          </controlPr>
        </control>
      </mc:Choice>
      <mc:Fallback>
        <control shapeId="1025" r:id="rId4" name="Ro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2018-04-26T23:32:01Z</dcterms:created>
  <dcterms:modified xsi:type="dcterms:W3CDTF">2018-11-15T22:38:52Z</dcterms:modified>
</cp:coreProperties>
</file>