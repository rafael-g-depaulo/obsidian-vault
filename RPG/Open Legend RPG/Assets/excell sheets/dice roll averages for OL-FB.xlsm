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"/>
    </mc:Choice>
  </mc:AlternateContent>
  <bookViews>
    <workbookView xWindow="0" yWindow="0" windowWidth="28800" windowHeight="12555"/>
  </bookViews>
  <sheets>
    <sheet name="Sheet1" sheetId="1" r:id="rId1"/>
  </sheets>
  <definedNames>
    <definedName name="diceAverages">Sheet1!$C$4:$H$33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H4" i="1"/>
  <c r="G4" i="1"/>
  <c r="F4" i="1"/>
  <c r="E4" i="1"/>
  <c r="D4" i="1"/>
  <c r="C4" i="1"/>
  <c r="B5" i="1"/>
  <c r="G5" i="1" s="1"/>
  <c r="K141" i="1"/>
  <c r="K110" i="1"/>
  <c r="K48" i="1"/>
  <c r="K182" i="1"/>
  <c r="K4" i="1"/>
  <c r="K45" i="1"/>
  <c r="K65" i="1"/>
  <c r="K154" i="1"/>
  <c r="K49" i="1"/>
  <c r="K62" i="1"/>
  <c r="K160" i="1"/>
  <c r="K33" i="1"/>
  <c r="K83" i="1"/>
  <c r="K17" i="1"/>
  <c r="K14" i="1"/>
  <c r="K137" i="1"/>
  <c r="K104" i="1"/>
  <c r="K165" i="1"/>
  <c r="K142" i="1"/>
  <c r="K135" i="1"/>
  <c r="K113" i="1"/>
  <c r="K158" i="1"/>
  <c r="K81" i="1"/>
  <c r="K22" i="1"/>
  <c r="K117" i="1"/>
  <c r="K98" i="1"/>
  <c r="K56" i="1"/>
  <c r="K41" i="1"/>
  <c r="K143" i="1"/>
  <c r="K130" i="1"/>
  <c r="K53" i="1"/>
  <c r="K85" i="1"/>
  <c r="K116" i="1"/>
  <c r="K145" i="1"/>
  <c r="K8" i="1"/>
  <c r="K99" i="1"/>
  <c r="K60" i="1"/>
  <c r="K89" i="1"/>
  <c r="K82" i="1"/>
  <c r="K27" i="1"/>
  <c r="K111" i="1"/>
  <c r="K64" i="1"/>
  <c r="K103" i="1"/>
  <c r="K5" i="1"/>
  <c r="K105" i="1"/>
  <c r="K147" i="1"/>
  <c r="K47" i="1"/>
  <c r="K16" i="1"/>
  <c r="K140" i="1"/>
  <c r="K139" i="1"/>
  <c r="K66" i="1"/>
  <c r="K68" i="1"/>
  <c r="K109" i="1"/>
  <c r="K162" i="1"/>
  <c r="K127" i="1"/>
  <c r="K120" i="1"/>
  <c r="K92" i="1"/>
  <c r="K115" i="1"/>
  <c r="K150" i="1"/>
  <c r="K159" i="1"/>
  <c r="K58" i="1"/>
  <c r="K6" i="1"/>
  <c r="K31" i="1"/>
  <c r="K96" i="1"/>
  <c r="K11" i="1"/>
  <c r="K12" i="1"/>
  <c r="K179" i="1"/>
  <c r="K168" i="1"/>
  <c r="K176" i="1"/>
  <c r="K128" i="1"/>
  <c r="K51" i="1"/>
  <c r="K87" i="1"/>
  <c r="K125" i="1"/>
  <c r="K21" i="1"/>
  <c r="K107" i="1"/>
  <c r="K46" i="1"/>
  <c r="K7" i="1"/>
  <c r="K71" i="1"/>
  <c r="K23" i="1"/>
  <c r="K88" i="1"/>
  <c r="K114" i="1"/>
  <c r="K32" i="1"/>
  <c r="K183" i="1"/>
  <c r="K174" i="1"/>
  <c r="K112" i="1"/>
  <c r="K133" i="1"/>
  <c r="K102" i="1"/>
  <c r="K57" i="1"/>
  <c r="K54" i="1"/>
  <c r="K52" i="1"/>
  <c r="K37" i="1"/>
  <c r="K126" i="1"/>
  <c r="K148" i="1"/>
  <c r="K18" i="1"/>
  <c r="K59" i="1"/>
  <c r="K79" i="1"/>
  <c r="K121" i="1"/>
  <c r="K146" i="1"/>
  <c r="K100" i="1"/>
  <c r="K19" i="1"/>
  <c r="K50" i="1"/>
  <c r="K63" i="1"/>
  <c r="K169" i="1"/>
  <c r="K29" i="1"/>
  <c r="K164" i="1"/>
  <c r="K77" i="1"/>
  <c r="K178" i="1"/>
  <c r="K106" i="1"/>
  <c r="K166" i="1"/>
  <c r="K156" i="1"/>
  <c r="K95" i="1"/>
  <c r="K171" i="1"/>
  <c r="K34" i="1"/>
  <c r="K157" i="1"/>
  <c r="K138" i="1"/>
  <c r="K155" i="1"/>
  <c r="K80" i="1"/>
  <c r="K134" i="1"/>
  <c r="K72" i="1"/>
  <c r="K42" i="1"/>
  <c r="K61" i="1"/>
  <c r="K131" i="1"/>
  <c r="K73" i="1"/>
  <c r="K67" i="1"/>
  <c r="K122" i="1"/>
  <c r="K86" i="1"/>
  <c r="K55" i="1"/>
  <c r="K161" i="1"/>
  <c r="K75" i="1"/>
  <c r="K94" i="1"/>
  <c r="K26" i="1"/>
  <c r="K78" i="1"/>
  <c r="K44" i="1"/>
  <c r="K119" i="1"/>
  <c r="K84" i="1"/>
  <c r="K175" i="1"/>
  <c r="K90" i="1"/>
  <c r="K69" i="1"/>
  <c r="K132" i="1"/>
  <c r="K20" i="1"/>
  <c r="K15" i="1"/>
  <c r="K9" i="1"/>
  <c r="K123" i="1"/>
  <c r="K30" i="1"/>
  <c r="K180" i="1"/>
  <c r="K101" i="1"/>
  <c r="K35" i="1"/>
  <c r="K39" i="1"/>
  <c r="K76" i="1"/>
  <c r="K181" i="1"/>
  <c r="K24" i="1"/>
  <c r="K124" i="1"/>
  <c r="K153" i="1"/>
  <c r="K149" i="1"/>
  <c r="K91" i="1"/>
  <c r="K151" i="1"/>
  <c r="K28" i="1"/>
  <c r="K144" i="1"/>
  <c r="K25" i="1"/>
  <c r="K170" i="1"/>
  <c r="K70" i="1"/>
  <c r="K36" i="1"/>
  <c r="K167" i="1"/>
  <c r="K177" i="1"/>
  <c r="K97" i="1"/>
  <c r="K108" i="1"/>
  <c r="K93" i="1"/>
  <c r="K118" i="1"/>
  <c r="K74" i="1"/>
  <c r="K172" i="1"/>
  <c r="K38" i="1"/>
  <c r="K173" i="1"/>
  <c r="K10" i="1"/>
  <c r="K152" i="1"/>
  <c r="K136" i="1"/>
  <c r="K40" i="1"/>
  <c r="K129" i="1"/>
  <c r="K43" i="1"/>
  <c r="K163" i="1"/>
  <c r="K13" i="1"/>
  <c r="B6" i="1" l="1"/>
  <c r="B7" i="1" s="1"/>
  <c r="B8" i="1" s="1"/>
  <c r="G6" i="1"/>
  <c r="C6" i="1"/>
  <c r="C7" i="1"/>
  <c r="D8" i="1"/>
  <c r="F5" i="1"/>
  <c r="G7" i="1"/>
  <c r="C8" i="1"/>
  <c r="F6" i="1"/>
  <c r="G8" i="1"/>
  <c r="E8" i="1"/>
  <c r="F7" i="1"/>
  <c r="E5" i="1"/>
  <c r="F8" i="1"/>
  <c r="E6" i="1"/>
  <c r="H5" i="1"/>
  <c r="D5" i="1"/>
  <c r="E7" i="1"/>
  <c r="H6" i="1"/>
  <c r="C5" i="1"/>
  <c r="D6" i="1"/>
  <c r="H7" i="1"/>
  <c r="L4" i="1"/>
  <c r="D7" i="1" l="1"/>
  <c r="B9" i="1"/>
  <c r="H8" i="1"/>
  <c r="B10" i="1" l="1"/>
  <c r="C9" i="1"/>
  <c r="E9" i="1"/>
  <c r="H9" i="1"/>
  <c r="D9" i="1"/>
  <c r="G9" i="1"/>
  <c r="F9" i="1"/>
  <c r="B11" i="1" l="1"/>
  <c r="H10" i="1"/>
  <c r="D10" i="1"/>
  <c r="C10" i="1"/>
  <c r="E10" i="1"/>
  <c r="G10" i="1"/>
  <c r="F10" i="1"/>
  <c r="B12" i="1" l="1"/>
  <c r="H11" i="1"/>
  <c r="C11" i="1"/>
  <c r="E11" i="1"/>
  <c r="F11" i="1"/>
  <c r="G11" i="1"/>
  <c r="D11" i="1"/>
  <c r="B13" i="1" l="1"/>
  <c r="D12" i="1"/>
  <c r="F12" i="1"/>
  <c r="H12" i="1"/>
  <c r="E12" i="1"/>
  <c r="C12" i="1"/>
  <c r="G12" i="1"/>
  <c r="B14" i="1" l="1"/>
  <c r="C13" i="1"/>
  <c r="G13" i="1"/>
  <c r="H13" i="1"/>
  <c r="F13" i="1"/>
  <c r="D13" i="1"/>
  <c r="E13" i="1"/>
  <c r="B15" i="1" l="1"/>
  <c r="E14" i="1"/>
  <c r="G14" i="1"/>
  <c r="F14" i="1"/>
  <c r="H14" i="1"/>
  <c r="D14" i="1"/>
  <c r="C14" i="1"/>
  <c r="L64" i="1"/>
  <c r="L56" i="1"/>
  <c r="B16" i="1" l="1"/>
  <c r="D15" i="1"/>
  <c r="H15" i="1"/>
  <c r="E15" i="1"/>
  <c r="G15" i="1"/>
  <c r="C15" i="1"/>
  <c r="F15" i="1"/>
  <c r="L74" i="1"/>
  <c r="L48" i="1"/>
  <c r="B17" i="1" l="1"/>
  <c r="H16" i="1"/>
  <c r="F16" i="1"/>
  <c r="C16" i="1"/>
  <c r="E16" i="1"/>
  <c r="G16" i="1"/>
  <c r="D16" i="1"/>
  <c r="L41" i="1"/>
  <c r="B18" i="1" l="1"/>
  <c r="F17" i="1"/>
  <c r="E17" i="1"/>
  <c r="H17" i="1"/>
  <c r="D17" i="1"/>
  <c r="G17" i="1"/>
  <c r="C17" i="1"/>
  <c r="L86" i="1"/>
  <c r="L83" i="1"/>
  <c r="L75" i="1"/>
  <c r="L34" i="1"/>
  <c r="B19" i="1" l="1"/>
  <c r="G18" i="1"/>
  <c r="H18" i="1"/>
  <c r="D18" i="1"/>
  <c r="C18" i="1"/>
  <c r="F18" i="1"/>
  <c r="E18" i="1"/>
  <c r="L29" i="1"/>
  <c r="L68" i="1"/>
  <c r="L84" i="1"/>
  <c r="L90" i="1"/>
  <c r="L91" i="1"/>
  <c r="B20" i="1" l="1"/>
  <c r="D19" i="1"/>
  <c r="E19" i="1"/>
  <c r="C19" i="1"/>
  <c r="H19" i="1"/>
  <c r="F19" i="1"/>
  <c r="G19" i="1"/>
  <c r="L99" i="1"/>
  <c r="L26" i="1"/>
  <c r="L76" i="1"/>
  <c r="L94" i="1"/>
  <c r="L98" i="1"/>
  <c r="L97" i="1"/>
  <c r="L61" i="1"/>
  <c r="B21" i="1" l="1"/>
  <c r="D20" i="1"/>
  <c r="E20" i="1"/>
  <c r="G20" i="1"/>
  <c r="C20" i="1"/>
  <c r="F20" i="1"/>
  <c r="H20" i="1"/>
  <c r="L103" i="1"/>
  <c r="L21" i="1"/>
  <c r="L105" i="1"/>
  <c r="L100" i="1"/>
  <c r="L57" i="1"/>
  <c r="L70" i="1"/>
  <c r="L88" i="1"/>
  <c r="B22" i="1" l="1"/>
  <c r="H21" i="1"/>
  <c r="C21" i="1"/>
  <c r="E21" i="1"/>
  <c r="D21" i="1"/>
  <c r="F21" i="1"/>
  <c r="G21" i="1"/>
  <c r="L65" i="1"/>
  <c r="L111" i="1"/>
  <c r="L51" i="1"/>
  <c r="L107" i="1"/>
  <c r="L102" i="1"/>
  <c r="L81" i="1"/>
  <c r="L18" i="1"/>
  <c r="L110" i="1"/>
  <c r="L109" i="1"/>
  <c r="L106" i="1"/>
  <c r="B23" i="1" l="1"/>
  <c r="E22" i="1"/>
  <c r="G22" i="1"/>
  <c r="C22" i="1"/>
  <c r="F22" i="1"/>
  <c r="H22" i="1"/>
  <c r="D22" i="1"/>
  <c r="L116" i="1"/>
  <c r="L113" i="1"/>
  <c r="L96" i="1"/>
  <c r="L16" i="1"/>
  <c r="L45" i="1"/>
  <c r="L114" i="1"/>
  <c r="L77" i="1"/>
  <c r="L115" i="1"/>
  <c r="L117" i="1"/>
  <c r="L60" i="1"/>
  <c r="B24" i="1" l="1"/>
  <c r="C23" i="1"/>
  <c r="F23" i="1"/>
  <c r="G23" i="1"/>
  <c r="D23" i="1"/>
  <c r="H23" i="1"/>
  <c r="E23" i="1"/>
  <c r="L121" i="1"/>
  <c r="L54" i="1"/>
  <c r="L122" i="1"/>
  <c r="L92" i="1"/>
  <c r="L112" i="1"/>
  <c r="L120" i="1"/>
  <c r="L118" i="1"/>
  <c r="L71" i="1"/>
  <c r="L123" i="1"/>
  <c r="L14" i="1"/>
  <c r="L42" i="1"/>
  <c r="L119" i="1"/>
  <c r="B25" i="1" l="1"/>
  <c r="E24" i="1"/>
  <c r="D24" i="1"/>
  <c r="H24" i="1"/>
  <c r="F24" i="1"/>
  <c r="G24" i="1"/>
  <c r="C24" i="1"/>
  <c r="L125" i="1"/>
  <c r="L126" i="1"/>
  <c r="L87" i="1"/>
  <c r="L128" i="1"/>
  <c r="L67" i="1"/>
  <c r="L124" i="1"/>
  <c r="L108" i="1"/>
  <c r="L50" i="1"/>
  <c r="L38" i="1"/>
  <c r="L13" i="1"/>
  <c r="L129" i="1"/>
  <c r="L127" i="1"/>
  <c r="B26" i="1" l="1"/>
  <c r="F25" i="1"/>
  <c r="E25" i="1"/>
  <c r="G25" i="1"/>
  <c r="C25" i="1"/>
  <c r="H25" i="1"/>
  <c r="D25" i="1"/>
  <c r="L133" i="1"/>
  <c r="L134" i="1"/>
  <c r="L82" i="1"/>
  <c r="L135" i="1"/>
  <c r="L131" i="1"/>
  <c r="L104" i="1"/>
  <c r="L33" i="1"/>
  <c r="L46" i="1"/>
  <c r="L132" i="1"/>
  <c r="L12" i="1"/>
  <c r="L130" i="1"/>
  <c r="L63" i="1"/>
  <c r="B27" i="1" l="1"/>
  <c r="F26" i="1"/>
  <c r="G26" i="1"/>
  <c r="H26" i="1"/>
  <c r="D26" i="1"/>
  <c r="E26" i="1"/>
  <c r="C26" i="1"/>
  <c r="L137" i="1"/>
  <c r="L101" i="1"/>
  <c r="L11" i="1"/>
  <c r="L141" i="1"/>
  <c r="L31" i="1"/>
  <c r="L136" i="1"/>
  <c r="L140" i="1"/>
  <c r="L58" i="1"/>
  <c r="L78" i="1"/>
  <c r="L139" i="1"/>
  <c r="L43" i="1"/>
  <c r="L138" i="1"/>
  <c r="B28" i="1" l="1"/>
  <c r="E27" i="1"/>
  <c r="H27" i="1"/>
  <c r="G27" i="1"/>
  <c r="F27" i="1"/>
  <c r="D27" i="1"/>
  <c r="C27" i="1"/>
  <c r="L144" i="1"/>
  <c r="L39" i="1"/>
  <c r="L95" i="1"/>
  <c r="L28" i="1"/>
  <c r="L142" i="1"/>
  <c r="L72" i="1"/>
  <c r="L147" i="1"/>
  <c r="L143" i="1"/>
  <c r="L10" i="1"/>
  <c r="L146" i="1"/>
  <c r="L145" i="1"/>
  <c r="L53" i="1"/>
  <c r="B29" i="1" l="1"/>
  <c r="H28" i="1"/>
  <c r="D28" i="1"/>
  <c r="C28" i="1"/>
  <c r="F28" i="1"/>
  <c r="E28" i="1"/>
  <c r="G28" i="1"/>
  <c r="L149" i="1"/>
  <c r="L152" i="1"/>
  <c r="L148" i="1"/>
  <c r="L9" i="1"/>
  <c r="L150" i="1"/>
  <c r="L69" i="1"/>
  <c r="L36" i="1"/>
  <c r="L93" i="1"/>
  <c r="L49" i="1"/>
  <c r="L151" i="1"/>
  <c r="L153" i="1"/>
  <c r="L24" i="1"/>
  <c r="B30" i="1" l="1"/>
  <c r="H29" i="1"/>
  <c r="E29" i="1"/>
  <c r="D29" i="1"/>
  <c r="C29" i="1"/>
  <c r="F29" i="1"/>
  <c r="G29" i="1"/>
  <c r="L66" i="1"/>
  <c r="L158" i="1"/>
  <c r="L156" i="1"/>
  <c r="L89" i="1"/>
  <c r="L154" i="1"/>
  <c r="L155" i="1"/>
  <c r="L47" i="1"/>
  <c r="L159" i="1"/>
  <c r="L157" i="1"/>
  <c r="L32" i="1"/>
  <c r="L22" i="1"/>
  <c r="L8" i="1"/>
  <c r="B31" i="1" l="1"/>
  <c r="D30" i="1"/>
  <c r="E30" i="1"/>
  <c r="G30" i="1"/>
  <c r="C30" i="1"/>
  <c r="F30" i="1"/>
  <c r="H30" i="1"/>
  <c r="L30" i="1"/>
  <c r="L20" i="1"/>
  <c r="L160" i="1"/>
  <c r="L165" i="1"/>
  <c r="L161" i="1"/>
  <c r="L162" i="1"/>
  <c r="L44" i="1"/>
  <c r="L85" i="1"/>
  <c r="L164" i="1"/>
  <c r="L7" i="1"/>
  <c r="L163" i="1"/>
  <c r="L62" i="1"/>
  <c r="B32" i="1" l="1"/>
  <c r="G31" i="1"/>
  <c r="D31" i="1"/>
  <c r="C31" i="1"/>
  <c r="F31" i="1"/>
  <c r="H31" i="1"/>
  <c r="E31" i="1"/>
  <c r="L27" i="1"/>
  <c r="L167" i="1"/>
  <c r="L59" i="1"/>
  <c r="L40" i="1"/>
  <c r="L80" i="1"/>
  <c r="L170" i="1"/>
  <c r="L169" i="1"/>
  <c r="L171" i="1"/>
  <c r="L168" i="1"/>
  <c r="L166" i="1"/>
  <c r="L19" i="1"/>
  <c r="L6" i="1"/>
  <c r="B33" i="1" l="1"/>
  <c r="C32" i="1"/>
  <c r="G32" i="1"/>
  <c r="E32" i="1"/>
  <c r="D32" i="1"/>
  <c r="H32" i="1"/>
  <c r="F32" i="1"/>
  <c r="L176" i="1"/>
  <c r="L37" i="1"/>
  <c r="L172" i="1"/>
  <c r="L5" i="1"/>
  <c r="L17" i="1"/>
  <c r="L25" i="1"/>
  <c r="L173" i="1"/>
  <c r="L177" i="1"/>
  <c r="L175" i="1"/>
  <c r="L55" i="1"/>
  <c r="L79" i="1"/>
  <c r="L174" i="1"/>
  <c r="E33" i="1" l="1"/>
  <c r="H33" i="1"/>
  <c r="C33" i="1"/>
  <c r="F33" i="1"/>
  <c r="D33" i="1"/>
  <c r="G33" i="1"/>
  <c r="L180" i="1"/>
  <c r="L179" i="1"/>
  <c r="L181" i="1"/>
  <c r="L15" i="1"/>
  <c r="L52" i="1"/>
  <c r="L178" i="1"/>
  <c r="L73" i="1"/>
  <c r="L23" i="1"/>
  <c r="L183" i="1"/>
  <c r="L35" i="1"/>
  <c r="L182" i="1"/>
  <c r="M183" i="1" l="1"/>
  <c r="M4" i="1"/>
  <c r="M180" i="1"/>
  <c r="M181" i="1"/>
  <c r="M182" i="1"/>
  <c r="M169" i="1"/>
  <c r="M157" i="1"/>
  <c r="M168" i="1"/>
  <c r="M170" i="1"/>
  <c r="M171" i="1"/>
  <c r="M147" i="1"/>
  <c r="M173" i="1"/>
  <c r="M178" i="1"/>
  <c r="M177" i="1"/>
  <c r="M155" i="1"/>
  <c r="M163" i="1"/>
  <c r="M150" i="1"/>
  <c r="M152" i="1"/>
  <c r="M161" i="1"/>
  <c r="M176" i="1"/>
  <c r="M136" i="1"/>
  <c r="M162" i="1"/>
  <c r="M166" i="1"/>
  <c r="M172" i="1"/>
  <c r="M179" i="1"/>
  <c r="M164" i="1"/>
  <c r="M159" i="1"/>
  <c r="M175" i="1"/>
  <c r="M167" i="1"/>
  <c r="M174" i="1"/>
  <c r="M124" i="1"/>
  <c r="M158" i="1"/>
  <c r="M165" i="1"/>
  <c r="M144" i="1"/>
  <c r="M113" i="1"/>
  <c r="M139" i="1"/>
  <c r="M151" i="1"/>
  <c r="M154" i="1"/>
  <c r="M146" i="1"/>
  <c r="M160" i="1"/>
  <c r="M138" i="1"/>
  <c r="M99" i="1"/>
  <c r="M131" i="1"/>
  <c r="M141" i="1"/>
  <c r="M121" i="1"/>
  <c r="M148" i="1"/>
  <c r="M86" i="1"/>
  <c r="M156" i="1"/>
  <c r="M132" i="1"/>
  <c r="M134" i="1"/>
  <c r="M114" i="1"/>
  <c r="M143" i="1"/>
  <c r="M74" i="1"/>
  <c r="M153" i="1"/>
  <c r="M125" i="1"/>
  <c r="M64" i="1"/>
  <c r="M118" i="1"/>
  <c r="M140" i="1"/>
  <c r="M107" i="1"/>
  <c r="M128" i="1"/>
  <c r="M149" i="1"/>
  <c r="M123" i="1"/>
  <c r="M135" i="1"/>
  <c r="M56" i="1"/>
  <c r="M98" i="1"/>
  <c r="M109" i="1"/>
  <c r="M145" i="1"/>
  <c r="M142" i="1"/>
  <c r="M117" i="1"/>
  <c r="M91" i="1"/>
  <c r="M129" i="1"/>
  <c r="M103" i="1"/>
  <c r="M48" i="1"/>
  <c r="M41" i="1"/>
  <c r="M111" i="1"/>
  <c r="M83" i="1"/>
  <c r="M137" i="1"/>
  <c r="M97" i="1"/>
  <c r="M126" i="1"/>
  <c r="M120" i="1"/>
  <c r="M75" i="1"/>
  <c r="M90" i="1"/>
  <c r="M34" i="1"/>
  <c r="M133" i="1"/>
  <c r="M105" i="1"/>
  <c r="M130" i="1"/>
  <c r="M100" i="1"/>
  <c r="M68" i="1"/>
  <c r="M116" i="1"/>
  <c r="M29" i="1"/>
  <c r="M84" i="1"/>
  <c r="M76" i="1"/>
  <c r="M110" i="1"/>
  <c r="M127" i="1"/>
  <c r="M94" i="1"/>
  <c r="M26" i="1"/>
  <c r="M61" i="1"/>
  <c r="M122" i="1"/>
  <c r="M70" i="1"/>
  <c r="M57" i="1"/>
  <c r="M106" i="1"/>
  <c r="M21" i="1"/>
  <c r="M88" i="1"/>
  <c r="M119" i="1"/>
  <c r="M102" i="1"/>
  <c r="M51" i="1"/>
  <c r="M65" i="1"/>
  <c r="M18" i="1"/>
  <c r="M81" i="1"/>
  <c r="M16" i="1"/>
  <c r="M96" i="1"/>
  <c r="M60" i="1"/>
  <c r="M115" i="1"/>
  <c r="M77" i="1"/>
  <c r="M45" i="1"/>
  <c r="M42" i="1"/>
  <c r="M92" i="1"/>
  <c r="M112" i="1"/>
  <c r="M14" i="1"/>
  <c r="M71" i="1"/>
  <c r="M54" i="1"/>
  <c r="M38" i="1"/>
  <c r="M67" i="1"/>
  <c r="M87" i="1"/>
  <c r="M13" i="1"/>
  <c r="M108" i="1"/>
  <c r="M50" i="1"/>
  <c r="M82" i="1"/>
  <c r="M63" i="1"/>
  <c r="M46" i="1"/>
  <c r="M33" i="1"/>
  <c r="M104" i="1"/>
  <c r="M12" i="1"/>
  <c r="M101" i="1"/>
  <c r="M58" i="1"/>
  <c r="M78" i="1"/>
  <c r="M11" i="1"/>
  <c r="M31" i="1"/>
  <c r="M43" i="1"/>
  <c r="M95" i="1"/>
  <c r="M53" i="1"/>
  <c r="M28" i="1"/>
  <c r="M72" i="1"/>
  <c r="M39" i="1"/>
  <c r="M10" i="1"/>
  <c r="M49" i="1"/>
  <c r="M24" i="1"/>
  <c r="M9" i="1"/>
  <c r="M69" i="1"/>
  <c r="M93" i="1"/>
  <c r="M36" i="1"/>
  <c r="M35" i="1"/>
  <c r="M15" i="1"/>
  <c r="M52" i="1"/>
  <c r="M23" i="1"/>
  <c r="M73" i="1"/>
  <c r="M5" i="1"/>
  <c r="M6" i="1"/>
  <c r="M7" i="1"/>
  <c r="M30" i="1"/>
  <c r="M79" i="1"/>
  <c r="M8" i="1"/>
  <c r="M44" i="1"/>
  <c r="M19" i="1"/>
  <c r="M85" i="1"/>
  <c r="M20" i="1"/>
  <c r="M37" i="1"/>
  <c r="M66" i="1"/>
  <c r="M47" i="1"/>
  <c r="M25" i="1"/>
  <c r="M40" i="1"/>
  <c r="M27" i="1"/>
  <c r="M89" i="1"/>
  <c r="M55" i="1"/>
  <c r="M62" i="1"/>
  <c r="M59" i="1"/>
  <c r="M17" i="1"/>
  <c r="M32" i="1"/>
  <c r="M22" i="1"/>
  <c r="M80" i="1"/>
  <c r="Q4" i="1" l="1"/>
  <c r="P4" i="1"/>
  <c r="O5" i="1"/>
  <c r="O13" i="1"/>
  <c r="O21" i="1"/>
  <c r="O29" i="1"/>
  <c r="O37" i="1"/>
  <c r="O45" i="1"/>
  <c r="O53" i="1"/>
  <c r="O61" i="1"/>
  <c r="O69" i="1"/>
  <c r="O77" i="1"/>
  <c r="O85" i="1"/>
  <c r="O93" i="1"/>
  <c r="O101" i="1"/>
  <c r="O109" i="1"/>
  <c r="O117" i="1"/>
  <c r="O125" i="1"/>
  <c r="O133" i="1"/>
  <c r="O141" i="1"/>
  <c r="O149" i="1"/>
  <c r="O157" i="1"/>
  <c r="O165" i="1"/>
  <c r="O173" i="1"/>
  <c r="O181" i="1"/>
  <c r="P10" i="1"/>
  <c r="P18" i="1"/>
  <c r="P26" i="1"/>
  <c r="P34" i="1"/>
  <c r="P42" i="1"/>
  <c r="P50" i="1"/>
  <c r="P58" i="1"/>
  <c r="P66" i="1"/>
  <c r="P74" i="1"/>
  <c r="P82" i="1"/>
  <c r="P90" i="1"/>
  <c r="P98" i="1"/>
  <c r="P106" i="1"/>
  <c r="P114" i="1"/>
  <c r="P122" i="1"/>
  <c r="P130" i="1"/>
  <c r="P138" i="1"/>
  <c r="P146" i="1"/>
  <c r="P154" i="1"/>
  <c r="P162" i="1"/>
  <c r="P170" i="1"/>
  <c r="P178" i="1"/>
  <c r="Q7" i="1"/>
  <c r="Q15" i="1"/>
  <c r="Q23" i="1"/>
  <c r="Q31" i="1"/>
  <c r="Q39" i="1"/>
  <c r="Q47" i="1"/>
  <c r="Q55" i="1"/>
  <c r="Q63" i="1"/>
  <c r="Q71" i="1"/>
  <c r="Q79" i="1"/>
  <c r="Q87" i="1"/>
  <c r="Q95" i="1"/>
  <c r="Q103" i="1"/>
  <c r="Q111" i="1"/>
  <c r="Q119" i="1"/>
  <c r="Q127" i="1"/>
  <c r="Q135" i="1"/>
  <c r="Q143" i="1"/>
  <c r="Q151" i="1"/>
  <c r="Q159" i="1"/>
  <c r="Q167" i="1"/>
  <c r="Q175" i="1"/>
  <c r="Q183" i="1"/>
  <c r="R12" i="1"/>
  <c r="R20" i="1"/>
  <c r="R28" i="1"/>
  <c r="R36" i="1"/>
  <c r="R44" i="1"/>
  <c r="R52" i="1"/>
  <c r="R60" i="1"/>
  <c r="R68" i="1"/>
  <c r="R76" i="1"/>
  <c r="R84" i="1"/>
  <c r="R92" i="1"/>
  <c r="R100" i="1"/>
  <c r="R108" i="1"/>
  <c r="R116" i="1"/>
  <c r="R124" i="1"/>
  <c r="R132" i="1"/>
  <c r="R140" i="1"/>
  <c r="O6" i="1"/>
  <c r="O14" i="1"/>
  <c r="O22" i="1"/>
  <c r="O30" i="1"/>
  <c r="O38" i="1"/>
  <c r="O46" i="1"/>
  <c r="O54" i="1"/>
  <c r="O62" i="1"/>
  <c r="O70" i="1"/>
  <c r="O78" i="1"/>
  <c r="O86" i="1"/>
  <c r="O94" i="1"/>
  <c r="O102" i="1"/>
  <c r="O110" i="1"/>
  <c r="O118" i="1"/>
  <c r="O126" i="1"/>
  <c r="O134" i="1"/>
  <c r="O142" i="1"/>
  <c r="O150" i="1"/>
  <c r="O158" i="1"/>
  <c r="O166" i="1"/>
  <c r="O174" i="1"/>
  <c r="O182" i="1"/>
  <c r="P11" i="1"/>
  <c r="P19" i="1"/>
  <c r="P27" i="1"/>
  <c r="P35" i="1"/>
  <c r="P43" i="1"/>
  <c r="P51" i="1"/>
  <c r="P59" i="1"/>
  <c r="P67" i="1"/>
  <c r="P75" i="1"/>
  <c r="P83" i="1"/>
  <c r="P91" i="1"/>
  <c r="P99" i="1"/>
  <c r="P107" i="1"/>
  <c r="P115" i="1"/>
  <c r="P123" i="1"/>
  <c r="P131" i="1"/>
  <c r="P139" i="1"/>
  <c r="P147" i="1"/>
  <c r="P155" i="1"/>
  <c r="P163" i="1"/>
  <c r="P171" i="1"/>
  <c r="P179" i="1"/>
  <c r="Q8" i="1"/>
  <c r="Q16" i="1"/>
  <c r="Q24" i="1"/>
  <c r="Q32" i="1"/>
  <c r="Q40" i="1"/>
  <c r="Q48" i="1"/>
  <c r="Q56" i="1"/>
  <c r="Q64" i="1"/>
  <c r="Q72" i="1"/>
  <c r="Q80" i="1"/>
  <c r="Q88" i="1"/>
  <c r="Q96" i="1"/>
  <c r="Q104" i="1"/>
  <c r="Q112" i="1"/>
  <c r="Q120" i="1"/>
  <c r="Q128" i="1"/>
  <c r="Q136" i="1"/>
  <c r="Q144" i="1"/>
  <c r="Q152" i="1"/>
  <c r="Q160" i="1"/>
  <c r="Q168" i="1"/>
  <c r="Q176" i="1"/>
  <c r="R5" i="1"/>
  <c r="R13" i="1"/>
  <c r="R21" i="1"/>
  <c r="R29" i="1"/>
  <c r="R37" i="1"/>
  <c r="R45" i="1"/>
  <c r="R53" i="1"/>
  <c r="R61" i="1"/>
  <c r="R69" i="1"/>
  <c r="R77" i="1"/>
  <c r="R85" i="1"/>
  <c r="R93" i="1"/>
  <c r="R101" i="1"/>
  <c r="R109" i="1"/>
  <c r="R117" i="1"/>
  <c r="R125" i="1"/>
  <c r="O7" i="1"/>
  <c r="O15" i="1"/>
  <c r="O23" i="1"/>
  <c r="O31" i="1"/>
  <c r="O39" i="1"/>
  <c r="O47" i="1"/>
  <c r="O55" i="1"/>
  <c r="O63" i="1"/>
  <c r="O71" i="1"/>
  <c r="O79" i="1"/>
  <c r="O87" i="1"/>
  <c r="O95" i="1"/>
  <c r="O103" i="1"/>
  <c r="O111" i="1"/>
  <c r="O119" i="1"/>
  <c r="O127" i="1"/>
  <c r="O135" i="1"/>
  <c r="O143" i="1"/>
  <c r="O151" i="1"/>
  <c r="O159" i="1"/>
  <c r="O167" i="1"/>
  <c r="O175" i="1"/>
  <c r="O183" i="1"/>
  <c r="P12" i="1"/>
  <c r="P20" i="1"/>
  <c r="P28" i="1"/>
  <c r="P36" i="1"/>
  <c r="P44" i="1"/>
  <c r="P52" i="1"/>
  <c r="P60" i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Q9" i="1"/>
  <c r="Q17" i="1"/>
  <c r="Q25" i="1"/>
  <c r="Q33" i="1"/>
  <c r="Q41" i="1"/>
  <c r="Q49" i="1"/>
  <c r="Q57" i="1"/>
  <c r="Q65" i="1"/>
  <c r="Q73" i="1"/>
  <c r="Q81" i="1"/>
  <c r="Q89" i="1"/>
  <c r="Q97" i="1"/>
  <c r="Q105" i="1"/>
  <c r="Q113" i="1"/>
  <c r="Q121" i="1"/>
  <c r="Q129" i="1"/>
  <c r="Q137" i="1"/>
  <c r="Q145" i="1"/>
  <c r="Q153" i="1"/>
  <c r="Q161" i="1"/>
  <c r="Q169" i="1"/>
  <c r="Q177" i="1"/>
  <c r="R6" i="1"/>
  <c r="R14" i="1"/>
  <c r="R22" i="1"/>
  <c r="R30" i="1"/>
  <c r="R38" i="1"/>
  <c r="R46" i="1"/>
  <c r="R54" i="1"/>
  <c r="R62" i="1"/>
  <c r="R70" i="1"/>
  <c r="R78" i="1"/>
  <c r="R86" i="1"/>
  <c r="R94" i="1"/>
  <c r="R102" i="1"/>
  <c r="R110" i="1"/>
  <c r="R118" i="1"/>
  <c r="R126" i="1"/>
  <c r="R134" i="1"/>
  <c r="R142" i="1"/>
  <c r="O8" i="1"/>
  <c r="O16" i="1"/>
  <c r="O24" i="1"/>
  <c r="O32" i="1"/>
  <c r="O40" i="1"/>
  <c r="O48" i="1"/>
  <c r="O56" i="1"/>
  <c r="O64" i="1"/>
  <c r="O72" i="1"/>
  <c r="O80" i="1"/>
  <c r="O88" i="1"/>
  <c r="O96" i="1"/>
  <c r="O104" i="1"/>
  <c r="O112" i="1"/>
  <c r="O120" i="1"/>
  <c r="O128" i="1"/>
  <c r="O136" i="1"/>
  <c r="O144" i="1"/>
  <c r="O152" i="1"/>
  <c r="O160" i="1"/>
  <c r="O168" i="1"/>
  <c r="O176" i="1"/>
  <c r="P5" i="1"/>
  <c r="P13" i="1"/>
  <c r="P21" i="1"/>
  <c r="P29" i="1"/>
  <c r="P37" i="1"/>
  <c r="P45" i="1"/>
  <c r="P53" i="1"/>
  <c r="P61" i="1"/>
  <c r="P69" i="1"/>
  <c r="P77" i="1"/>
  <c r="P85" i="1"/>
  <c r="P93" i="1"/>
  <c r="P101" i="1"/>
  <c r="P109" i="1"/>
  <c r="P117" i="1"/>
  <c r="P125" i="1"/>
  <c r="P133" i="1"/>
  <c r="P141" i="1"/>
  <c r="P149" i="1"/>
  <c r="P157" i="1"/>
  <c r="P165" i="1"/>
  <c r="P173" i="1"/>
  <c r="P181" i="1"/>
  <c r="Q10" i="1"/>
  <c r="Q18" i="1"/>
  <c r="Q26" i="1"/>
  <c r="Q34" i="1"/>
  <c r="Q42" i="1"/>
  <c r="Q50" i="1"/>
  <c r="Q58" i="1"/>
  <c r="Q66" i="1"/>
  <c r="Q74" i="1"/>
  <c r="Q82" i="1"/>
  <c r="Q90" i="1"/>
  <c r="Q98" i="1"/>
  <c r="Q106" i="1"/>
  <c r="Q114" i="1"/>
  <c r="Q122" i="1"/>
  <c r="Q130" i="1"/>
  <c r="Q138" i="1"/>
  <c r="Q146" i="1"/>
  <c r="Q154" i="1"/>
  <c r="Q162" i="1"/>
  <c r="Q170" i="1"/>
  <c r="Q178" i="1"/>
  <c r="R7" i="1"/>
  <c r="R15" i="1"/>
  <c r="R23" i="1"/>
  <c r="R31" i="1"/>
  <c r="R39" i="1"/>
  <c r="R47" i="1"/>
  <c r="R55" i="1"/>
  <c r="R63" i="1"/>
  <c r="R71" i="1"/>
  <c r="R79" i="1"/>
  <c r="R87" i="1"/>
  <c r="R95" i="1"/>
  <c r="R103" i="1"/>
  <c r="R111" i="1"/>
  <c r="R119" i="1"/>
  <c r="R127" i="1"/>
  <c r="R135" i="1"/>
  <c r="O9" i="1"/>
  <c r="O17" i="1"/>
  <c r="O25" i="1"/>
  <c r="O33" i="1"/>
  <c r="O41" i="1"/>
  <c r="O49" i="1"/>
  <c r="O57" i="1"/>
  <c r="O65" i="1"/>
  <c r="O73" i="1"/>
  <c r="O81" i="1"/>
  <c r="O89" i="1"/>
  <c r="O97" i="1"/>
  <c r="O105" i="1"/>
  <c r="O113" i="1"/>
  <c r="O121" i="1"/>
  <c r="O129" i="1"/>
  <c r="O137" i="1"/>
  <c r="O145" i="1"/>
  <c r="O153" i="1"/>
  <c r="O161" i="1"/>
  <c r="O169" i="1"/>
  <c r="O177" i="1"/>
  <c r="P6" i="1"/>
  <c r="P14" i="1"/>
  <c r="P22" i="1"/>
  <c r="P30" i="1"/>
  <c r="P38" i="1"/>
  <c r="P46" i="1"/>
  <c r="P54" i="1"/>
  <c r="P62" i="1"/>
  <c r="P70" i="1"/>
  <c r="P78" i="1"/>
  <c r="P86" i="1"/>
  <c r="P94" i="1"/>
  <c r="P102" i="1"/>
  <c r="P110" i="1"/>
  <c r="P118" i="1"/>
  <c r="P126" i="1"/>
  <c r="P134" i="1"/>
  <c r="P142" i="1"/>
  <c r="P150" i="1"/>
  <c r="P158" i="1"/>
  <c r="P166" i="1"/>
  <c r="P174" i="1"/>
  <c r="P182" i="1"/>
  <c r="Q11" i="1"/>
  <c r="Q19" i="1"/>
  <c r="Q27" i="1"/>
  <c r="Q35" i="1"/>
  <c r="Q43" i="1"/>
  <c r="Q51" i="1"/>
  <c r="Q59" i="1"/>
  <c r="Q67" i="1"/>
  <c r="Q75" i="1"/>
  <c r="Q83" i="1"/>
  <c r="Q91" i="1"/>
  <c r="Q99" i="1"/>
  <c r="Q107" i="1"/>
  <c r="Q115" i="1"/>
  <c r="Q123" i="1"/>
  <c r="Q131" i="1"/>
  <c r="Q139" i="1"/>
  <c r="Q147" i="1"/>
  <c r="Q155" i="1"/>
  <c r="Q163" i="1"/>
  <c r="Q171" i="1"/>
  <c r="Q179" i="1"/>
  <c r="R8" i="1"/>
  <c r="R16" i="1"/>
  <c r="R24" i="1"/>
  <c r="R32" i="1"/>
  <c r="R40" i="1"/>
  <c r="R48" i="1"/>
  <c r="R56" i="1"/>
  <c r="R64" i="1"/>
  <c r="R72" i="1"/>
  <c r="R80" i="1"/>
  <c r="R88" i="1"/>
  <c r="R96" i="1"/>
  <c r="R104" i="1"/>
  <c r="R112" i="1"/>
  <c r="R120" i="1"/>
  <c r="R128" i="1"/>
  <c r="R136" i="1"/>
  <c r="O10" i="1"/>
  <c r="O18" i="1"/>
  <c r="O26" i="1"/>
  <c r="O34" i="1"/>
  <c r="O42" i="1"/>
  <c r="O50" i="1"/>
  <c r="O58" i="1"/>
  <c r="O66" i="1"/>
  <c r="O74" i="1"/>
  <c r="O82" i="1"/>
  <c r="O90" i="1"/>
  <c r="O98" i="1"/>
  <c r="O106" i="1"/>
  <c r="O114" i="1"/>
  <c r="O122" i="1"/>
  <c r="O130" i="1"/>
  <c r="O138" i="1"/>
  <c r="O146" i="1"/>
  <c r="O154" i="1"/>
  <c r="O162" i="1"/>
  <c r="O170" i="1"/>
  <c r="O178" i="1"/>
  <c r="P7" i="1"/>
  <c r="P15" i="1"/>
  <c r="P23" i="1"/>
  <c r="P31" i="1"/>
  <c r="P39" i="1"/>
  <c r="P47" i="1"/>
  <c r="P55" i="1"/>
  <c r="P63" i="1"/>
  <c r="P71" i="1"/>
  <c r="P79" i="1"/>
  <c r="P87" i="1"/>
  <c r="P95" i="1"/>
  <c r="P103" i="1"/>
  <c r="P111" i="1"/>
  <c r="P119" i="1"/>
  <c r="P127" i="1"/>
  <c r="P135" i="1"/>
  <c r="P143" i="1"/>
  <c r="P151" i="1"/>
  <c r="P159" i="1"/>
  <c r="P167" i="1"/>
  <c r="P175" i="1"/>
  <c r="P183" i="1"/>
  <c r="Q12" i="1"/>
  <c r="Q20" i="1"/>
  <c r="Q28" i="1"/>
  <c r="Q36" i="1"/>
  <c r="Q44" i="1"/>
  <c r="Q52" i="1"/>
  <c r="Q60" i="1"/>
  <c r="Q68" i="1"/>
  <c r="Q76" i="1"/>
  <c r="Q84" i="1"/>
  <c r="Q92" i="1"/>
  <c r="Q100" i="1"/>
  <c r="Q108" i="1"/>
  <c r="Q116" i="1"/>
  <c r="Q124" i="1"/>
  <c r="Q132" i="1"/>
  <c r="Q140" i="1"/>
  <c r="Q148" i="1"/>
  <c r="Q156" i="1"/>
  <c r="Q164" i="1"/>
  <c r="Q172" i="1"/>
  <c r="Q180" i="1"/>
  <c r="R9" i="1"/>
  <c r="R17" i="1"/>
  <c r="R25" i="1"/>
  <c r="R33" i="1"/>
  <c r="R41" i="1"/>
  <c r="R49" i="1"/>
  <c r="R57" i="1"/>
  <c r="R65" i="1"/>
  <c r="R73" i="1"/>
  <c r="R81" i="1"/>
  <c r="R89" i="1"/>
  <c r="R97" i="1"/>
  <c r="R105" i="1"/>
  <c r="R113" i="1"/>
  <c r="R121" i="1"/>
  <c r="R129" i="1"/>
  <c r="R137" i="1"/>
  <c r="R145" i="1"/>
  <c r="O11" i="1"/>
  <c r="O19" i="1"/>
  <c r="O27" i="1"/>
  <c r="O35" i="1"/>
  <c r="O43" i="1"/>
  <c r="O51" i="1"/>
  <c r="O59" i="1"/>
  <c r="O67" i="1"/>
  <c r="O75" i="1"/>
  <c r="O83" i="1"/>
  <c r="O91" i="1"/>
  <c r="O99" i="1"/>
  <c r="O107" i="1"/>
  <c r="O115" i="1"/>
  <c r="O123" i="1"/>
  <c r="O131" i="1"/>
  <c r="O139" i="1"/>
  <c r="O147" i="1"/>
  <c r="O155" i="1"/>
  <c r="O163" i="1"/>
  <c r="O171" i="1"/>
  <c r="O179" i="1"/>
  <c r="P8" i="1"/>
  <c r="P16" i="1"/>
  <c r="P24" i="1"/>
  <c r="P32" i="1"/>
  <c r="P40" i="1"/>
  <c r="P48" i="1"/>
  <c r="P56" i="1"/>
  <c r="P64" i="1"/>
  <c r="P72" i="1"/>
  <c r="P80" i="1"/>
  <c r="P88" i="1"/>
  <c r="P96" i="1"/>
  <c r="P104" i="1"/>
  <c r="P112" i="1"/>
  <c r="P120" i="1"/>
  <c r="P128" i="1"/>
  <c r="P136" i="1"/>
  <c r="P144" i="1"/>
  <c r="P152" i="1"/>
  <c r="P160" i="1"/>
  <c r="P168" i="1"/>
  <c r="P176" i="1"/>
  <c r="Q5" i="1"/>
  <c r="Q13" i="1"/>
  <c r="Q21" i="1"/>
  <c r="Q29" i="1"/>
  <c r="Q37" i="1"/>
  <c r="Q45" i="1"/>
  <c r="Q53" i="1"/>
  <c r="Q61" i="1"/>
  <c r="Q69" i="1"/>
  <c r="Q77" i="1"/>
  <c r="Q85" i="1"/>
  <c r="Q93" i="1"/>
  <c r="Q101" i="1"/>
  <c r="Q109" i="1"/>
  <c r="Q117" i="1"/>
  <c r="Q125" i="1"/>
  <c r="Q133" i="1"/>
  <c r="Q141" i="1"/>
  <c r="Q149" i="1"/>
  <c r="Q157" i="1"/>
  <c r="Q165" i="1"/>
  <c r="Q173" i="1"/>
  <c r="Q181" i="1"/>
  <c r="R10" i="1"/>
  <c r="R18" i="1"/>
  <c r="R26" i="1"/>
  <c r="R34" i="1"/>
  <c r="R42" i="1"/>
  <c r="R50" i="1"/>
  <c r="R58" i="1"/>
  <c r="R66" i="1"/>
  <c r="R74" i="1"/>
  <c r="R82" i="1"/>
  <c r="R90" i="1"/>
  <c r="R98" i="1"/>
  <c r="R106" i="1"/>
  <c r="R114" i="1"/>
  <c r="R122" i="1"/>
  <c r="R130" i="1"/>
  <c r="R138" i="1"/>
  <c r="R146" i="1"/>
  <c r="O12" i="1"/>
  <c r="O20" i="1"/>
  <c r="O28" i="1"/>
  <c r="O36" i="1"/>
  <c r="O44" i="1"/>
  <c r="O52" i="1"/>
  <c r="O60" i="1"/>
  <c r="O68" i="1"/>
  <c r="O76" i="1"/>
  <c r="O84" i="1"/>
  <c r="O92" i="1"/>
  <c r="O100" i="1"/>
  <c r="O108" i="1"/>
  <c r="O116" i="1"/>
  <c r="O124" i="1"/>
  <c r="O132" i="1"/>
  <c r="O140" i="1"/>
  <c r="O148" i="1"/>
  <c r="O156" i="1"/>
  <c r="O164" i="1"/>
  <c r="O172" i="1"/>
  <c r="O180" i="1"/>
  <c r="P9" i="1"/>
  <c r="P17" i="1"/>
  <c r="P25" i="1"/>
  <c r="P33" i="1"/>
  <c r="P41" i="1"/>
  <c r="P49" i="1"/>
  <c r="P57" i="1"/>
  <c r="P65" i="1"/>
  <c r="P73" i="1"/>
  <c r="P81" i="1"/>
  <c r="P89" i="1"/>
  <c r="P97" i="1"/>
  <c r="P105" i="1"/>
  <c r="P113" i="1"/>
  <c r="P121" i="1"/>
  <c r="P129" i="1"/>
  <c r="P137" i="1"/>
  <c r="P145" i="1"/>
  <c r="P153" i="1"/>
  <c r="P161" i="1"/>
  <c r="P169" i="1"/>
  <c r="P177" i="1"/>
  <c r="Q6" i="1"/>
  <c r="Q14" i="1"/>
  <c r="Q22" i="1"/>
  <c r="Q30" i="1"/>
  <c r="Q38" i="1"/>
  <c r="Q46" i="1"/>
  <c r="Q54" i="1"/>
  <c r="Q62" i="1"/>
  <c r="Q70" i="1"/>
  <c r="Q78" i="1"/>
  <c r="Q86" i="1"/>
  <c r="Q94" i="1"/>
  <c r="Q102" i="1"/>
  <c r="Q110" i="1"/>
  <c r="Q118" i="1"/>
  <c r="Q126" i="1"/>
  <c r="Q134" i="1"/>
  <c r="Q142" i="1"/>
  <c r="Q150" i="1"/>
  <c r="Q158" i="1"/>
  <c r="Q166" i="1"/>
  <c r="Q174" i="1"/>
  <c r="Q182" i="1"/>
  <c r="R11" i="1"/>
  <c r="R19" i="1"/>
  <c r="R27" i="1"/>
  <c r="R35" i="1"/>
  <c r="R43" i="1"/>
  <c r="R51" i="1"/>
  <c r="R59" i="1"/>
  <c r="R67" i="1"/>
  <c r="R75" i="1"/>
  <c r="R83" i="1"/>
  <c r="R91" i="1"/>
  <c r="R99" i="1"/>
  <c r="R107" i="1"/>
  <c r="R115" i="1"/>
  <c r="R123" i="1"/>
  <c r="R131" i="1"/>
  <c r="R139" i="1"/>
  <c r="R147" i="1"/>
  <c r="R133" i="1"/>
  <c r="R152" i="1"/>
  <c r="R160" i="1"/>
  <c r="R168" i="1"/>
  <c r="R161" i="1"/>
  <c r="R141" i="1"/>
  <c r="R143" i="1"/>
  <c r="R154" i="1"/>
  <c r="R162" i="1"/>
  <c r="R170" i="1"/>
  <c r="R178" i="1"/>
  <c r="R157" i="1"/>
  <c r="R181" i="1"/>
  <c r="R144" i="1"/>
  <c r="R155" i="1"/>
  <c r="R163" i="1"/>
  <c r="R171" i="1"/>
  <c r="R179" i="1"/>
  <c r="R180" i="1"/>
  <c r="R173" i="1"/>
  <c r="R148" i="1"/>
  <c r="R156" i="1"/>
  <c r="R164" i="1"/>
  <c r="R172" i="1"/>
  <c r="R165" i="1"/>
  <c r="R149" i="1"/>
  <c r="R150" i="1"/>
  <c r="R158" i="1"/>
  <c r="R166" i="1"/>
  <c r="R174" i="1"/>
  <c r="R182" i="1"/>
  <c r="R153" i="1"/>
  <c r="R177" i="1"/>
  <c r="R151" i="1"/>
  <c r="R159" i="1"/>
  <c r="R167" i="1"/>
  <c r="R175" i="1"/>
  <c r="R183" i="1"/>
  <c r="R176" i="1"/>
  <c r="R169" i="1"/>
  <c r="O4" i="1"/>
  <c r="R4" i="1"/>
</calcChain>
</file>

<file path=xl/sharedStrings.xml><?xml version="1.0" encoding="utf-8"?>
<sst xmlns="http://schemas.openxmlformats.org/spreadsheetml/2006/main" count="24" uniqueCount="19">
  <si>
    <t>Quantity</t>
  </si>
  <si>
    <t>Dice type</t>
  </si>
  <si>
    <t>d4</t>
  </si>
  <si>
    <t>d6</t>
  </si>
  <si>
    <t>d8</t>
  </si>
  <si>
    <t>d10</t>
  </si>
  <si>
    <t>d12</t>
  </si>
  <si>
    <t>d20</t>
  </si>
  <si>
    <t>Dice Average</t>
  </si>
  <si>
    <t>Dice Type</t>
  </si>
  <si>
    <t>d</t>
  </si>
  <si>
    <t>Average</t>
  </si>
  <si>
    <t>Rank</t>
  </si>
  <si>
    <t>Qnt</t>
  </si>
  <si>
    <t>Type</t>
  </si>
  <si>
    <t>Ordered by lowest Average</t>
  </si>
  <si>
    <t>Oredered by Qnt and Type</t>
  </si>
  <si>
    <t xml:space="preserve"> 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</si>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</sst>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2" fillId="2" borderId="15" xfId="1" applyBorder="1"/>
    <xf numFmtId="0" fontId="1" fillId="4" borderId="17" xfId="3" applyBorder="1"/>
    <xf numFmtId="0" fontId="1" fillId="4" borderId="18" xfId="3" applyBorder="1"/>
    <xf numFmtId="0" fontId="1" fillId="3" borderId="13" xfId="2" applyBorder="1"/>
    <xf numFmtId="0" fontId="1" fillId="3" borderId="16" xfId="2" applyBorder="1"/>
    <xf numFmtId="0" fontId="1" fillId="3" borderId="19" xfId="2" applyBorder="1"/>
    <xf numFmtId="0" fontId="1" fillId="3" borderId="20" xfId="2" applyBorder="1"/>
    <xf numFmtId="0" fontId="2" fillId="2" borderId="25" xfId="1" applyBorder="1"/>
    <xf numFmtId="0" fontId="2" fillId="5" borderId="26" xfId="4" applyBorder="1" applyAlignment="1">
      <alignment horizontal="center"/>
    </xf>
    <xf numFmtId="0" fontId="2" fillId="5" borderId="27" xfId="4" applyBorder="1" applyAlignment="1">
      <alignment horizontal="center"/>
    </xf>
    <xf numFmtId="0" fontId="1" fillId="4" borderId="28" xfId="3" applyBorder="1"/>
    <xf numFmtId="0" fontId="1" fillId="3" borderId="29" xfId="2" applyBorder="1"/>
    <xf numFmtId="0" fontId="1" fillId="3" borderId="30" xfId="2" applyBorder="1"/>
    <xf numFmtId="0" fontId="0" fillId="0" borderId="0" xfId="0" applyNumberFormat="1" applyAlignment="1">
      <alignment horizontal="right"/>
    </xf>
    <xf numFmtId="0" fontId="0" fillId="0" borderId="0" xfId="0" applyNumberFormat="1"/>
    <xf numFmtId="0" fontId="2" fillId="2" borderId="1" xfId="1" applyBorder="1" applyAlignment="1">
      <alignment horizontal="center"/>
    </xf>
    <xf numFmtId="0" fontId="2" fillId="2" borderId="2" xfId="1" applyBorder="1" applyAlignment="1">
      <alignment horizontal="center"/>
    </xf>
    <xf numFmtId="0" fontId="2" fillId="9" borderId="23" xfId="8" applyBorder="1" applyAlignment="1">
      <alignment horizontal="center"/>
    </xf>
    <xf numFmtId="0" fontId="2" fillId="9" borderId="24" xfId="8" applyBorder="1" applyAlignment="1">
      <alignment horizontal="center"/>
    </xf>
    <xf numFmtId="0" fontId="2" fillId="10" borderId="0" xfId="9" applyAlignment="1">
      <alignment horizontal="center"/>
    </xf>
    <xf numFmtId="0" fontId="4" fillId="8" borderId="3" xfId="7" applyFont="1" applyBorder="1" applyAlignment="1">
      <alignment horizontal="right" vertical="center"/>
    </xf>
    <xf numFmtId="0" fontId="4" fillId="8" borderId="4" xfId="7" applyFont="1" applyBorder="1" applyAlignment="1">
      <alignment horizontal="right" vertical="center"/>
    </xf>
    <xf numFmtId="0" fontId="4" fillId="8" borderId="9" xfId="7" applyFont="1" applyBorder="1" applyAlignment="1">
      <alignment horizontal="left" vertical="center"/>
    </xf>
    <xf numFmtId="0" fontId="4" fillId="8" borderId="10" xfId="7" applyFont="1" applyBorder="1" applyAlignment="1">
      <alignment horizontal="left" vertical="center"/>
    </xf>
    <xf numFmtId="0" fontId="3" fillId="7" borderId="14" xfId="6" applyFont="1" applyBorder="1" applyAlignment="1">
      <alignment horizontal="center" vertical="center"/>
    </xf>
    <xf numFmtId="0" fontId="3" fillId="7" borderId="21" xfId="6" applyFont="1" applyBorder="1" applyAlignment="1">
      <alignment horizontal="center" vertical="center"/>
    </xf>
    <xf numFmtId="0" fontId="3" fillId="7" borderId="22" xfId="6" applyFont="1" applyBorder="1" applyAlignment="1">
      <alignment horizontal="center" vertical="center"/>
    </xf>
    <xf numFmtId="0" fontId="3" fillId="7" borderId="5" xfId="6" applyFont="1" applyBorder="1" applyAlignment="1">
      <alignment horizontal="center" vertical="center"/>
    </xf>
    <xf numFmtId="0" fontId="2" fillId="6" borderId="6" xfId="5" applyBorder="1" applyAlignment="1">
      <alignment horizontal="center"/>
    </xf>
    <xf numFmtId="0" fontId="2" fillId="6" borderId="7" xfId="5" applyBorder="1" applyAlignment="1">
      <alignment horizontal="center"/>
    </xf>
    <xf numFmtId="0" fontId="2" fillId="6" borderId="8" xfId="5" applyBorder="1" applyAlignment="1">
      <alignment horizontal="center"/>
    </xf>
    <xf numFmtId="0" fontId="2" fillId="9" borderId="11" xfId="8" applyBorder="1" applyAlignment="1">
      <alignment horizontal="center"/>
    </xf>
    <xf numFmtId="0" fontId="2" fillId="9" borderId="12" xfId="8" applyBorder="1" applyAlignment="1">
      <alignment horizontal="center"/>
    </xf>
  </cellXfs>
  <cellStyles count="10">
    <cellStyle name="20% - Accent2" xfId="2" builtinId="34"/>
    <cellStyle name="20% - Accent4" xfId="6" builtinId="42"/>
    <cellStyle name="40% - Accent2" xfId="3" builtinId="35"/>
    <cellStyle name="40% - Accent4" xfId="7" builtinId="43"/>
    <cellStyle name="60% - Accent2" xfId="4" builtinId="36"/>
    <cellStyle name="60% - Accent4" xfId="8" builtinId="44"/>
    <cellStyle name="Accent2" xfId="1" builtinId="33"/>
    <cellStyle name="Accent4" xfId="5" builtinId="41"/>
    <cellStyle name="Accent5" xfId="9" builtinId="45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J3:M183" totalsRowShown="0">
  <autoFilter ref="J3:M183"/>
  <sortState ref="J4:M183">
    <sortCondition ref="M2:M182"/>
  </sortState>
  <tableColumns count="4">
    <tableColumn id="1" name="Qnt" dataDxfId="3">
      <calculatedColumnFormula>(ROW(J4)-4 -MOD(ROW(J4)-4,6))/6+1</calculatedColumnFormula>
    </tableColumn>
    <tableColumn id="2" name="Type" dataDxfId="2">
      <calculatedColumnFormula>IF(MOD(ROW(INDIRECT("J"&amp;ROW()))-4,6) = 0, "d4", IF(MOD(ROW(INDIRECT("J"&amp;ROW()))-4,6) = 1, "d6", IF(MOD(ROW(INDIRECT("J"&amp;ROW()))-4,6) = 2, "d8", IF(MOD(ROW(INDIRECT("J"&amp;ROW()))-4,6) = 3, "d10", IF(MOD(ROW(INDIRECT("J"&amp;ROW()))-4,6) = 4, "d12", IF(MOD(ROW(INDIRECT("J"&amp;ROW()))-4,6) = 5, "d20", ))))))</calculatedColumnFormula>
    </tableColumn>
    <tableColumn id="3" name="Average" dataDxfId="1">
      <calculatedColumnFormula>INDEX(diceAverages, INDIRECT("J"&amp;ROW()), IF(INDIRECT("K"&amp;ROW()) = "d4", 1,  IF(INDIRECT("K"&amp;ROW()) = "d6", 2,  IF(INDIRECT("K"&amp;ROW()) = "d8", 3,  IF(INDIRECT("K"&amp;ROW()) = "d10", 4, IF(INDIRECT("K"&amp;ROW()) = "d12", 5, IF(INDIRECT("K"&amp;ROW()) = "d20", 6, "ERROR")))))))</calculatedColumnFormula>
    </tableColumn>
    <tableColumn id="4" name="Rank" dataDxfId="0">
      <calculatedColumnFormula>_xlfn.RANK.EQ(Table1[[#This Row],[Average]],Table1[Average])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O3:S183" totalsRowShown="0">
  <autoFilter ref="O3:S183"/>
  <tableColumns count="5">
    <tableColumn id="1" name="Rank">
      <calculatedColumnFormula>INDEX(Table1[],MATCH(ROWS(Table1[]) - (ROW()-4),Table1[Rank], 0), 4)</calculatedColumnFormula>
    </tableColumn>
    <tableColumn id="2" name="Qnt">
      <calculatedColumnFormula>INDEX(Table1[],MATCH(ROWS(Table1[]) - (ROW()-4),Table1[Rank], 0), 1)</calculatedColumnFormula>
    </tableColumn>
    <tableColumn id="3" name="Type">
      <calculatedColumnFormula>INDEX(Table1[],MATCH(ROWS(Table1[]) - (ROW()-4),Table1[Rank], 0), 2)</calculatedColumnFormula>
    </tableColumn>
    <tableColumn id="4" name="Average">
      <calculatedColumnFormula>INDEX(Table1[],MATCH(ROWS(Table1[]) - (ROW()-4),Table1[Rank], 0), 3)</calculatedColumnFormula>
    </tableColumn>
    <tableColumn id="5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Y183"/>
  <sheetViews>
    <sheetView tabSelected="1" zoomScale="70" zoomScaleNormal="70" workbookViewId="0">
      <selection activeCell="D5" sqref="D5"/>
    </sheetView>
  </sheetViews>
  <sheetFormatPr defaultRowHeight="15" x14ac:dyDescent="0.25"/>
  <cols>
    <col min="1" max="2" width="9.140625" customWidth="1"/>
    <col min="10" max="10" width="6.5703125" customWidth="1"/>
    <col min="11" max="11" width="7.42578125" customWidth="1"/>
    <col min="12" max="12" width="9.28515625" customWidth="1"/>
    <col min="13" max="13" width="6.7109375" customWidth="1"/>
    <col min="14" max="14" width="7.85546875" customWidth="1"/>
    <col min="15" max="15" width="7.140625" customWidth="1"/>
    <col min="16" max="16" width="6.140625" customWidth="1"/>
    <col min="17" max="17" width="7" customWidth="1"/>
    <col min="18" max="18" width="10" customWidth="1"/>
  </cols>
  <sheetData>
    <row r="1" spans="2:25" ht="15.75" thickBot="1" x14ac:dyDescent="0.3"/>
    <row r="2" spans="2:25" x14ac:dyDescent="0.25">
      <c r="B2" s="3"/>
      <c r="C2" s="18" t="s">
        <v>1</v>
      </c>
      <c r="D2" s="18"/>
      <c r="E2" s="18"/>
      <c r="F2" s="18"/>
      <c r="G2" s="18"/>
      <c r="H2" s="19"/>
      <c r="J2" s="22" t="s">
        <v>16</v>
      </c>
      <c r="K2" s="22"/>
      <c r="L2" s="22"/>
      <c r="M2" s="22"/>
      <c r="O2" s="22" t="s">
        <v>15</v>
      </c>
      <c r="P2" s="22"/>
      <c r="Q2" s="22"/>
      <c r="R2" s="22"/>
      <c r="V2" s="31" t="s">
        <v>8</v>
      </c>
      <c r="W2" s="32"/>
      <c r="X2" s="32"/>
      <c r="Y2" s="33"/>
    </row>
    <row r="3" spans="2:25" ht="15.75" thickBot="1" x14ac:dyDescent="0.3">
      <c r="B3" s="10" t="s">
        <v>0</v>
      </c>
      <c r="C3" s="11" t="s">
        <v>2</v>
      </c>
      <c r="D3" s="11" t="s">
        <v>3</v>
      </c>
      <c r="E3" s="11" t="s">
        <v>4</v>
      </c>
      <c r="F3" s="11" t="s">
        <v>5</v>
      </c>
      <c r="G3" s="11" t="s">
        <v>6</v>
      </c>
      <c r="H3" s="12" t="s">
        <v>7</v>
      </c>
      <c r="J3" t="s">
        <v>13</v>
      </c>
      <c r="K3" t="s">
        <v>14</v>
      </c>
      <c r="L3" t="s">
        <v>11</v>
      </c>
      <c r="M3" t="s">
        <v>12</v>
      </c>
      <c r="O3" t="s">
        <v>12</v>
      </c>
      <c r="P3" t="s">
        <v>13</v>
      </c>
      <c r="Q3" t="s">
        <v>14</v>
      </c>
      <c r="R3" t="s">
        <v>11</v>
      </c>
      <c r="S3" t="s">
        <v>18</v>
      </c>
      <c r="V3" s="34" t="s">
        <v>9</v>
      </c>
      <c r="W3" s="35"/>
      <c r="X3" s="20" t="s">
        <v>11</v>
      </c>
      <c r="Y3" s="21"/>
    </row>
    <row r="4" spans="2:25" x14ac:dyDescent="0.25">
      <c r="B4" s="13">
        <v>1</v>
      </c>
      <c r="C4" s="14">
        <f>3.33*B4</f>
        <v>3.33</v>
      </c>
      <c r="D4" s="14">
        <f>4.2*B4</f>
        <v>4.2</v>
      </c>
      <c r="E4" s="14">
        <f>5.14 * B4</f>
        <v>5.14</v>
      </c>
      <c r="F4" s="14">
        <f>6.11 * B4</f>
        <v>6.11</v>
      </c>
      <c r="G4" s="14">
        <f>7.09 * B4</f>
        <v>7.09</v>
      </c>
      <c r="H4" s="15">
        <f>11.05 * B4</f>
        <v>11.05</v>
      </c>
      <c r="J4" s="16">
        <f t="shared" ref="J4:J35" si="0">(ROW(J4)-4 -MOD(ROW(J4)-4,6))/6+1</f>
        <v>1</v>
      </c>
      <c r="K4" s="2" t="str">
        <f t="shared" ref="K4:K35" ca="1" si="1">IF(MOD(ROW(INDIRECT("J"&amp;ROW()))-4,6) = 0, "d4", IF(MOD(ROW(INDIRECT("J"&amp;ROW()))-4,6) = 1, "d6", IF(MOD(ROW(INDIRECT("J"&amp;ROW()))-4,6) = 2, "d8", IF(MOD(ROW(INDIRECT("J"&amp;ROW()))-4,6) = 3, "d10", IF(MOD(ROW(INDIRECT("J"&amp;ROW()))-4,6) = 4, "d12", IF(MOD(ROW(INDIRECT("J"&amp;ROW()))-4,6) = 5, "d20", ))))))</f>
        <v>d4</v>
      </c>
      <c r="L4" s="17">
        <f t="shared" ref="L4:L35" ca="1" si="2">INDEX(diceAverages, INDIRECT("J"&amp;ROW()), IF(INDIRECT("K"&amp;ROW()) = "d4", 1,  IF(INDIRECT("K"&amp;ROW()) = "d6", 2,  IF(INDIRECT("K"&amp;ROW()) = "d8", 3,  IF(INDIRECT("K"&amp;ROW()) = "d10", 4, IF(INDIRECT("K"&amp;ROW()) = "d12", 5, IF(INDIRECT("K"&amp;ROW()) = "d20", 6, "ERROR")))))))</f>
        <v>3.33</v>
      </c>
      <c r="M4">
        <f ca="1">_xlfn.RANK.EQ(Table1[[#This Row],[Average]],Table1[Average])</f>
        <v>180</v>
      </c>
      <c r="O4">
        <f ca="1">INDEX(Table1[],MATCH(ROWS(Table1[]) - (ROW()-4),Table1[Rank], 0), 4)</f>
        <v>180</v>
      </c>
      <c r="P4">
        <f ca="1">INDEX(Table1[],MATCH(ROWS(Table1[]) - (ROW()-4),Table1[Rank], 0), 1)</f>
        <v>1</v>
      </c>
      <c r="Q4" t="str">
        <f ca="1">INDEX(Table1[],MATCH(ROWS(Table1[]) - (ROW()-4),Table1[Rank], 0), 2)</f>
        <v>d4</v>
      </c>
      <c r="R4">
        <f ca="1">INDEX(Table1[],MATCH(ROWS(Table1[]) - (ROW()-4),Table1[Rank], 0), 3)</f>
        <v>3.33</v>
      </c>
      <c r="V4" s="23" t="s">
        <v>10</v>
      </c>
      <c r="W4" s="25">
        <v>20</v>
      </c>
      <c r="X4" s="27">
        <f>(POWER(W4,2) + W4)/(2*W4 - 2)</f>
        <v>11.052631578947368</v>
      </c>
      <c r="Y4" s="28"/>
    </row>
    <row r="5" spans="2:25" ht="15" customHeight="1" thickBot="1" x14ac:dyDescent="0.3">
      <c r="B5" s="4">
        <f>B4+1</f>
        <v>2</v>
      </c>
      <c r="C5" s="6">
        <f t="shared" ref="C5:C33" si="3">3.33*B5</f>
        <v>6.66</v>
      </c>
      <c r="D5" s="6">
        <f t="shared" ref="D5:D33" si="4">4.2*B5</f>
        <v>8.4</v>
      </c>
      <c r="E5" s="6">
        <f t="shared" ref="E5:E33" si="5">5.14 * B5</f>
        <v>10.28</v>
      </c>
      <c r="F5" s="6">
        <f t="shared" ref="F5:F33" si="6">6.11 * B5</f>
        <v>12.22</v>
      </c>
      <c r="G5" s="6">
        <f t="shared" ref="G5:G33" si="7">7.09 * B5</f>
        <v>14.18</v>
      </c>
      <c r="H5" s="7">
        <f t="shared" ref="H5:H33" si="8">11.05 * B5</f>
        <v>22.1</v>
      </c>
      <c r="J5" s="16">
        <f t="shared" si="0"/>
        <v>1</v>
      </c>
      <c r="K5" s="2" t="str">
        <f t="shared" ca="1" si="1"/>
        <v>d6</v>
      </c>
      <c r="L5" s="17">
        <f t="shared" ca="1" si="2"/>
        <v>4.2</v>
      </c>
      <c r="M5">
        <f ca="1">_xlfn.RANK.EQ(Table1[[#This Row],[Average]],Table1[Average])</f>
        <v>179</v>
      </c>
      <c r="O5">
        <f ca="1">INDEX(Table1[],MATCH(ROWS(Table1[]) - (ROW()-4),Table1[Rank], 0), 4)</f>
        <v>179</v>
      </c>
      <c r="P5">
        <f ca="1">INDEX(Table1[],MATCH(ROWS(Table1[]) - (ROW()-4),Table1[Rank], 0), 1)</f>
        <v>1</v>
      </c>
      <c r="Q5" t="str">
        <f ca="1">INDEX(Table1[],MATCH(ROWS(Table1[]) - (ROW()-4),Table1[Rank], 0), 2)</f>
        <v>d6</v>
      </c>
      <c r="R5">
        <f ca="1">INDEX(Table1[],MATCH(ROWS(Table1[]) - (ROW()-4),Table1[Rank], 0), 3)</f>
        <v>4.2</v>
      </c>
      <c r="V5" s="24"/>
      <c r="W5" s="26"/>
      <c r="X5" s="29"/>
      <c r="Y5" s="30"/>
    </row>
    <row r="6" spans="2:25" ht="15.75" customHeight="1" x14ac:dyDescent="0.25">
      <c r="B6" s="4">
        <f t="shared" ref="B6:B33" si="9">B5+1</f>
        <v>3</v>
      </c>
      <c r="C6" s="6">
        <f t="shared" si="3"/>
        <v>9.99</v>
      </c>
      <c r="D6" s="6">
        <f t="shared" si="4"/>
        <v>12.600000000000001</v>
      </c>
      <c r="E6" s="6">
        <f t="shared" si="5"/>
        <v>15.419999999999998</v>
      </c>
      <c r="F6" s="6">
        <f t="shared" si="6"/>
        <v>18.330000000000002</v>
      </c>
      <c r="G6" s="6">
        <f t="shared" si="7"/>
        <v>21.27</v>
      </c>
      <c r="H6" s="7">
        <f t="shared" si="8"/>
        <v>33.150000000000006</v>
      </c>
      <c r="J6" s="16">
        <f t="shared" si="0"/>
        <v>1</v>
      </c>
      <c r="K6" s="2" t="str">
        <f t="shared" ca="1" si="1"/>
        <v>d8</v>
      </c>
      <c r="L6" s="17">
        <f t="shared" ca="1" si="2"/>
        <v>5.14</v>
      </c>
      <c r="M6">
        <f ca="1">_xlfn.RANK.EQ(Table1[[#This Row],[Average]],Table1[Average])</f>
        <v>178</v>
      </c>
      <c r="O6">
        <f ca="1">INDEX(Table1[],MATCH(ROWS(Table1[]) - (ROW()-4),Table1[Rank], 0), 4)</f>
        <v>178</v>
      </c>
      <c r="P6">
        <f ca="1">INDEX(Table1[],MATCH(ROWS(Table1[]) - (ROW()-4),Table1[Rank], 0), 1)</f>
        <v>1</v>
      </c>
      <c r="Q6" t="str">
        <f ca="1">INDEX(Table1[],MATCH(ROWS(Table1[]) - (ROW()-4),Table1[Rank], 0), 2)</f>
        <v>d8</v>
      </c>
      <c r="R6">
        <f ca="1">INDEX(Table1[],MATCH(ROWS(Table1[]) - (ROW()-4),Table1[Rank], 0), 3)</f>
        <v>5.14</v>
      </c>
    </row>
    <row r="7" spans="2:25" x14ac:dyDescent="0.25">
      <c r="B7" s="4">
        <f t="shared" si="9"/>
        <v>4</v>
      </c>
      <c r="C7" s="6">
        <f t="shared" si="3"/>
        <v>13.32</v>
      </c>
      <c r="D7" s="6">
        <f t="shared" si="4"/>
        <v>16.8</v>
      </c>
      <c r="E7" s="6">
        <f t="shared" si="5"/>
        <v>20.56</v>
      </c>
      <c r="F7" s="6">
        <f t="shared" si="6"/>
        <v>24.44</v>
      </c>
      <c r="G7" s="6">
        <f t="shared" si="7"/>
        <v>28.36</v>
      </c>
      <c r="H7" s="7">
        <f t="shared" si="8"/>
        <v>44.2</v>
      </c>
      <c r="J7" s="1">
        <f t="shared" si="0"/>
        <v>1</v>
      </c>
      <c r="K7" s="2" t="str">
        <f t="shared" ca="1" si="1"/>
        <v>d10</v>
      </c>
      <c r="L7">
        <f t="shared" ca="1" si="2"/>
        <v>6.11</v>
      </c>
      <c r="M7">
        <f ca="1">_xlfn.RANK.EQ(Table1[[#This Row],[Average]],Table1[Average])</f>
        <v>177</v>
      </c>
      <c r="O7">
        <f ca="1">INDEX(Table1[],MATCH(ROWS(Table1[]) - (ROW()-4),Table1[Rank], 0), 4)</f>
        <v>177</v>
      </c>
      <c r="P7">
        <f ca="1">INDEX(Table1[],MATCH(ROWS(Table1[]) - (ROW()-4),Table1[Rank], 0), 1)</f>
        <v>1</v>
      </c>
      <c r="Q7" t="str">
        <f ca="1">INDEX(Table1[],MATCH(ROWS(Table1[]) - (ROW()-4),Table1[Rank], 0), 2)</f>
        <v>d10</v>
      </c>
      <c r="R7">
        <f ca="1">INDEX(Table1[],MATCH(ROWS(Table1[]) - (ROW()-4),Table1[Rank], 0), 3)</f>
        <v>6.11</v>
      </c>
    </row>
    <row r="8" spans="2:25" x14ac:dyDescent="0.25">
      <c r="B8" s="4">
        <f t="shared" si="9"/>
        <v>5</v>
      </c>
      <c r="C8" s="6">
        <f t="shared" si="3"/>
        <v>16.649999999999999</v>
      </c>
      <c r="D8" s="6">
        <f t="shared" si="4"/>
        <v>21</v>
      </c>
      <c r="E8" s="6">
        <f>5.14 * B8</f>
        <v>25.7</v>
      </c>
      <c r="F8" s="6">
        <f t="shared" si="6"/>
        <v>30.55</v>
      </c>
      <c r="G8" s="6">
        <f t="shared" si="7"/>
        <v>35.450000000000003</v>
      </c>
      <c r="H8" s="7">
        <f t="shared" si="8"/>
        <v>55.25</v>
      </c>
      <c r="J8" s="1">
        <f t="shared" si="0"/>
        <v>1</v>
      </c>
      <c r="K8" s="2" t="str">
        <f t="shared" ca="1" si="1"/>
        <v>d12</v>
      </c>
      <c r="L8">
        <f t="shared" ca="1" si="2"/>
        <v>7.09</v>
      </c>
      <c r="M8">
        <f ca="1">_xlfn.RANK.EQ(Table1[[#This Row],[Average]],Table1[Average])</f>
        <v>175</v>
      </c>
      <c r="O8">
        <f ca="1">INDEX(Table1[],MATCH(ROWS(Table1[]) - (ROW()-4),Table1[Rank], 0), 4)</f>
        <v>176</v>
      </c>
      <c r="P8">
        <f ca="1">INDEX(Table1[],MATCH(ROWS(Table1[]) - (ROW()-4),Table1[Rank], 0), 1)</f>
        <v>2</v>
      </c>
      <c r="Q8" t="str">
        <f ca="1">INDEX(Table1[],MATCH(ROWS(Table1[]) - (ROW()-4),Table1[Rank], 0), 2)</f>
        <v>d4</v>
      </c>
      <c r="R8">
        <f ca="1">INDEX(Table1[],MATCH(ROWS(Table1[]) - (ROW()-4),Table1[Rank], 0), 3)</f>
        <v>6.66</v>
      </c>
    </row>
    <row r="9" spans="2:25" x14ac:dyDescent="0.25">
      <c r="B9" s="4">
        <f t="shared" si="9"/>
        <v>6</v>
      </c>
      <c r="C9" s="6">
        <f t="shared" si="3"/>
        <v>19.98</v>
      </c>
      <c r="D9" s="6">
        <f t="shared" si="4"/>
        <v>25.200000000000003</v>
      </c>
      <c r="E9" s="6">
        <f t="shared" si="5"/>
        <v>30.839999999999996</v>
      </c>
      <c r="F9" s="6">
        <f t="shared" si="6"/>
        <v>36.660000000000004</v>
      </c>
      <c r="G9" s="6">
        <f t="shared" si="7"/>
        <v>42.54</v>
      </c>
      <c r="H9" s="7">
        <f t="shared" si="8"/>
        <v>66.300000000000011</v>
      </c>
      <c r="J9" s="16">
        <f t="shared" si="0"/>
        <v>1</v>
      </c>
      <c r="K9" s="2" t="str">
        <f t="shared" ca="1" si="1"/>
        <v>d20</v>
      </c>
      <c r="L9" s="17">
        <f t="shared" ca="1" si="2"/>
        <v>11.05</v>
      </c>
      <c r="M9">
        <f ca="1">_xlfn.RANK.EQ(Table1[[#This Row],[Average]],Table1[Average])</f>
        <v>171</v>
      </c>
      <c r="O9">
        <f ca="1">INDEX(Table1[],MATCH(ROWS(Table1[]) - (ROW()-4),Table1[Rank], 0), 4)</f>
        <v>175</v>
      </c>
      <c r="P9">
        <f ca="1">INDEX(Table1[],MATCH(ROWS(Table1[]) - (ROW()-4),Table1[Rank], 0), 1)</f>
        <v>1</v>
      </c>
      <c r="Q9" t="str">
        <f ca="1">INDEX(Table1[],MATCH(ROWS(Table1[]) - (ROW()-4),Table1[Rank], 0), 2)</f>
        <v>d12</v>
      </c>
      <c r="R9">
        <f ca="1">INDEX(Table1[],MATCH(ROWS(Table1[]) - (ROW()-4),Table1[Rank], 0), 3)</f>
        <v>7.09</v>
      </c>
    </row>
    <row r="10" spans="2:25" x14ac:dyDescent="0.25">
      <c r="B10" s="4">
        <f t="shared" si="9"/>
        <v>7</v>
      </c>
      <c r="C10" s="6">
        <f t="shared" si="3"/>
        <v>23.310000000000002</v>
      </c>
      <c r="D10" s="6">
        <f t="shared" si="4"/>
        <v>29.400000000000002</v>
      </c>
      <c r="E10" s="6">
        <f t="shared" si="5"/>
        <v>35.979999999999997</v>
      </c>
      <c r="F10" s="6">
        <f t="shared" si="6"/>
        <v>42.77</v>
      </c>
      <c r="G10" s="6">
        <f t="shared" si="7"/>
        <v>49.629999999999995</v>
      </c>
      <c r="H10" s="7">
        <f t="shared" si="8"/>
        <v>77.350000000000009</v>
      </c>
      <c r="J10" s="16">
        <f t="shared" si="0"/>
        <v>2</v>
      </c>
      <c r="K10" s="2" t="str">
        <f t="shared" ca="1" si="1"/>
        <v>d4</v>
      </c>
      <c r="L10" s="17">
        <f t="shared" ca="1" si="2"/>
        <v>6.66</v>
      </c>
      <c r="M10">
        <f ca="1">_xlfn.RANK.EQ(Table1[[#This Row],[Average]],Table1[Average])</f>
        <v>176</v>
      </c>
      <c r="O10">
        <f ca="1">INDEX(Table1[],MATCH(ROWS(Table1[]) - (ROW()-4),Table1[Rank], 0), 4)</f>
        <v>174</v>
      </c>
      <c r="P10">
        <f ca="1">INDEX(Table1[],MATCH(ROWS(Table1[]) - (ROW()-4),Table1[Rank], 0), 1)</f>
        <v>2</v>
      </c>
      <c r="Q10" t="str">
        <f ca="1">INDEX(Table1[],MATCH(ROWS(Table1[]) - (ROW()-4),Table1[Rank], 0), 2)</f>
        <v>d6</v>
      </c>
      <c r="R10">
        <f ca="1">INDEX(Table1[],MATCH(ROWS(Table1[]) - (ROW()-4),Table1[Rank], 0), 3)</f>
        <v>8.4</v>
      </c>
    </row>
    <row r="11" spans="2:25" x14ac:dyDescent="0.25">
      <c r="B11" s="4">
        <f t="shared" si="9"/>
        <v>8</v>
      </c>
      <c r="C11" s="6">
        <f t="shared" si="3"/>
        <v>26.64</v>
      </c>
      <c r="D11" s="6">
        <f t="shared" si="4"/>
        <v>33.6</v>
      </c>
      <c r="E11" s="6">
        <f t="shared" si="5"/>
        <v>41.12</v>
      </c>
      <c r="F11" s="6">
        <f t="shared" si="6"/>
        <v>48.88</v>
      </c>
      <c r="G11" s="6">
        <f t="shared" si="7"/>
        <v>56.72</v>
      </c>
      <c r="H11" s="7">
        <f t="shared" si="8"/>
        <v>88.4</v>
      </c>
      <c r="J11" s="16">
        <f t="shared" si="0"/>
        <v>2</v>
      </c>
      <c r="K11" s="2" t="str">
        <f t="shared" ca="1" si="1"/>
        <v>d6</v>
      </c>
      <c r="L11" s="17">
        <f t="shared" ca="1" si="2"/>
        <v>8.4</v>
      </c>
      <c r="M11">
        <f ca="1">_xlfn.RANK.EQ(Table1[[#This Row],[Average]],Table1[Average])</f>
        <v>174</v>
      </c>
      <c r="O11">
        <f ca="1">INDEX(Table1[],MATCH(ROWS(Table1[]) - (ROW()-4),Table1[Rank], 0), 4)</f>
        <v>173</v>
      </c>
      <c r="P11">
        <f ca="1">INDEX(Table1[],MATCH(ROWS(Table1[]) - (ROW()-4),Table1[Rank], 0), 1)</f>
        <v>3</v>
      </c>
      <c r="Q11" t="str">
        <f ca="1">INDEX(Table1[],MATCH(ROWS(Table1[]) - (ROW()-4),Table1[Rank], 0), 2)</f>
        <v>d4</v>
      </c>
      <c r="R11">
        <f ca="1">INDEX(Table1[],MATCH(ROWS(Table1[]) - (ROW()-4),Table1[Rank], 0), 3)</f>
        <v>9.99</v>
      </c>
    </row>
    <row r="12" spans="2:25" x14ac:dyDescent="0.25">
      <c r="B12" s="4">
        <f t="shared" si="9"/>
        <v>9</v>
      </c>
      <c r="C12" s="6">
        <f t="shared" si="3"/>
        <v>29.97</v>
      </c>
      <c r="D12" s="6">
        <f t="shared" si="4"/>
        <v>37.800000000000004</v>
      </c>
      <c r="E12" s="6">
        <f t="shared" si="5"/>
        <v>46.26</v>
      </c>
      <c r="F12" s="6">
        <f t="shared" si="6"/>
        <v>54.99</v>
      </c>
      <c r="G12" s="6">
        <f t="shared" si="7"/>
        <v>63.81</v>
      </c>
      <c r="H12" s="7">
        <f t="shared" si="8"/>
        <v>99.45</v>
      </c>
      <c r="J12" s="1">
        <f t="shared" si="0"/>
        <v>2</v>
      </c>
      <c r="K12" s="2" t="str">
        <f t="shared" ca="1" si="1"/>
        <v>d8</v>
      </c>
      <c r="L12">
        <f t="shared" ca="1" si="2"/>
        <v>10.28</v>
      </c>
      <c r="M12">
        <f ca="1">_xlfn.RANK.EQ(Table1[[#This Row],[Average]],Table1[Average])</f>
        <v>172</v>
      </c>
      <c r="O12">
        <f ca="1">INDEX(Table1[],MATCH(ROWS(Table1[]) - (ROW()-4),Table1[Rank], 0), 4)</f>
        <v>172</v>
      </c>
      <c r="P12">
        <f ca="1">INDEX(Table1[],MATCH(ROWS(Table1[]) - (ROW()-4),Table1[Rank], 0), 1)</f>
        <v>2</v>
      </c>
      <c r="Q12" t="str">
        <f ca="1">INDEX(Table1[],MATCH(ROWS(Table1[]) - (ROW()-4),Table1[Rank], 0), 2)</f>
        <v>d8</v>
      </c>
      <c r="R12">
        <f ca="1">INDEX(Table1[],MATCH(ROWS(Table1[]) - (ROW()-4),Table1[Rank], 0), 3)</f>
        <v>10.28</v>
      </c>
    </row>
    <row r="13" spans="2:25" x14ac:dyDescent="0.25">
      <c r="B13" s="4">
        <f t="shared" si="9"/>
        <v>10</v>
      </c>
      <c r="C13" s="6">
        <f t="shared" si="3"/>
        <v>33.299999999999997</v>
      </c>
      <c r="D13" s="6">
        <f t="shared" si="4"/>
        <v>42</v>
      </c>
      <c r="E13" s="6">
        <f t="shared" si="5"/>
        <v>51.4</v>
      </c>
      <c r="F13" s="6">
        <f t="shared" si="6"/>
        <v>61.1</v>
      </c>
      <c r="G13" s="6">
        <f t="shared" si="7"/>
        <v>70.900000000000006</v>
      </c>
      <c r="H13" s="7">
        <f t="shared" si="8"/>
        <v>110.5</v>
      </c>
      <c r="J13" s="16">
        <f t="shared" si="0"/>
        <v>2</v>
      </c>
      <c r="K13" s="2" t="str">
        <f t="shared" ca="1" si="1"/>
        <v>d10</v>
      </c>
      <c r="L13" s="17">
        <f t="shared" ca="1" si="2"/>
        <v>12.22</v>
      </c>
      <c r="M13">
        <f ca="1">_xlfn.RANK.EQ(Table1[[#This Row],[Average]],Table1[Average])</f>
        <v>170</v>
      </c>
      <c r="O13">
        <f ca="1">INDEX(Table1[],MATCH(ROWS(Table1[]) - (ROW()-4),Table1[Rank], 0), 4)</f>
        <v>171</v>
      </c>
      <c r="P13">
        <f ca="1">INDEX(Table1[],MATCH(ROWS(Table1[]) - (ROW()-4),Table1[Rank], 0), 1)</f>
        <v>1</v>
      </c>
      <c r="Q13" t="str">
        <f ca="1">INDEX(Table1[],MATCH(ROWS(Table1[]) - (ROW()-4),Table1[Rank], 0), 2)</f>
        <v>d20</v>
      </c>
      <c r="R13">
        <f ca="1">INDEX(Table1[],MATCH(ROWS(Table1[]) - (ROW()-4),Table1[Rank], 0), 3)</f>
        <v>11.05</v>
      </c>
    </row>
    <row r="14" spans="2:25" x14ac:dyDescent="0.25">
      <c r="B14" s="4">
        <f t="shared" si="9"/>
        <v>11</v>
      </c>
      <c r="C14" s="6">
        <f t="shared" si="3"/>
        <v>36.630000000000003</v>
      </c>
      <c r="D14" s="6">
        <f t="shared" si="4"/>
        <v>46.2</v>
      </c>
      <c r="E14" s="6">
        <f t="shared" si="5"/>
        <v>56.54</v>
      </c>
      <c r="F14" s="6">
        <f t="shared" si="6"/>
        <v>67.210000000000008</v>
      </c>
      <c r="G14" s="6">
        <f t="shared" si="7"/>
        <v>77.989999999999995</v>
      </c>
      <c r="H14" s="7">
        <f t="shared" si="8"/>
        <v>121.55000000000001</v>
      </c>
      <c r="J14" s="1">
        <f t="shared" si="0"/>
        <v>2</v>
      </c>
      <c r="K14" s="2" t="str">
        <f t="shared" ca="1" si="1"/>
        <v>d12</v>
      </c>
      <c r="L14">
        <f t="shared" ca="1" si="2"/>
        <v>14.18</v>
      </c>
      <c r="M14">
        <f ca="1">_xlfn.RANK.EQ(Table1[[#This Row],[Average]],Table1[Average])</f>
        <v>167</v>
      </c>
      <c r="O14">
        <f ca="1">INDEX(Table1[],MATCH(ROWS(Table1[]) - (ROW()-4),Table1[Rank], 0), 4)</f>
        <v>170</v>
      </c>
      <c r="P14">
        <f ca="1">INDEX(Table1[],MATCH(ROWS(Table1[]) - (ROW()-4),Table1[Rank], 0), 1)</f>
        <v>2</v>
      </c>
      <c r="Q14" t="str">
        <f ca="1">INDEX(Table1[],MATCH(ROWS(Table1[]) - (ROW()-4),Table1[Rank], 0), 2)</f>
        <v>d10</v>
      </c>
      <c r="R14">
        <f ca="1">INDEX(Table1[],MATCH(ROWS(Table1[]) - (ROW()-4),Table1[Rank], 0), 3)</f>
        <v>12.22</v>
      </c>
    </row>
    <row r="15" spans="2:25" x14ac:dyDescent="0.25">
      <c r="B15" s="4">
        <f t="shared" si="9"/>
        <v>12</v>
      </c>
      <c r="C15" s="6">
        <f t="shared" si="3"/>
        <v>39.96</v>
      </c>
      <c r="D15" s="6">
        <f t="shared" si="4"/>
        <v>50.400000000000006</v>
      </c>
      <c r="E15" s="6">
        <f t="shared" si="5"/>
        <v>61.679999999999993</v>
      </c>
      <c r="F15" s="6">
        <f t="shared" si="6"/>
        <v>73.320000000000007</v>
      </c>
      <c r="G15" s="6">
        <f t="shared" si="7"/>
        <v>85.08</v>
      </c>
      <c r="H15" s="7">
        <f t="shared" si="8"/>
        <v>132.60000000000002</v>
      </c>
      <c r="J15" s="16">
        <f t="shared" si="0"/>
        <v>2</v>
      </c>
      <c r="K15" s="2" t="str">
        <f t="shared" ca="1" si="1"/>
        <v>d20</v>
      </c>
      <c r="L15" s="17">
        <f t="shared" ca="1" si="2"/>
        <v>22.1</v>
      </c>
      <c r="M15">
        <f ca="1">_xlfn.RANK.EQ(Table1[[#This Row],[Average]],Table1[Average])</f>
        <v>158</v>
      </c>
      <c r="O15">
        <f ca="1">INDEX(Table1[],MATCH(ROWS(Table1[]) - (ROW()-4),Table1[Rank], 0), 4)</f>
        <v>169</v>
      </c>
      <c r="P15">
        <f ca="1">INDEX(Table1[],MATCH(ROWS(Table1[]) - (ROW()-4),Table1[Rank], 0), 1)</f>
        <v>3</v>
      </c>
      <c r="Q15" t="str">
        <f ca="1">INDEX(Table1[],MATCH(ROWS(Table1[]) - (ROW()-4),Table1[Rank], 0), 2)</f>
        <v>d6</v>
      </c>
      <c r="R15">
        <f ca="1">INDEX(Table1[],MATCH(ROWS(Table1[]) - (ROW()-4),Table1[Rank], 0), 3)</f>
        <v>12.600000000000001</v>
      </c>
    </row>
    <row r="16" spans="2:25" x14ac:dyDescent="0.25">
      <c r="B16" s="4">
        <f t="shared" si="9"/>
        <v>13</v>
      </c>
      <c r="C16" s="6">
        <f t="shared" si="3"/>
        <v>43.29</v>
      </c>
      <c r="D16" s="6">
        <f t="shared" si="4"/>
        <v>54.6</v>
      </c>
      <c r="E16" s="6">
        <f t="shared" si="5"/>
        <v>66.819999999999993</v>
      </c>
      <c r="F16" s="6">
        <f t="shared" si="6"/>
        <v>79.430000000000007</v>
      </c>
      <c r="G16" s="6">
        <f t="shared" si="7"/>
        <v>92.17</v>
      </c>
      <c r="H16" s="7">
        <f t="shared" si="8"/>
        <v>143.65</v>
      </c>
      <c r="J16" s="1">
        <f t="shared" si="0"/>
        <v>3</v>
      </c>
      <c r="K16" s="2" t="str">
        <f t="shared" ca="1" si="1"/>
        <v>d4</v>
      </c>
      <c r="L16">
        <f t="shared" ca="1" si="2"/>
        <v>9.99</v>
      </c>
      <c r="M16">
        <f ca="1">_xlfn.RANK.EQ(Table1[[#This Row],[Average]],Table1[Average])</f>
        <v>173</v>
      </c>
      <c r="O16">
        <f ca="1">INDEX(Table1[],MATCH(ROWS(Table1[]) - (ROW()-4),Table1[Rank], 0), 4)</f>
        <v>168</v>
      </c>
      <c r="P16">
        <f ca="1">INDEX(Table1[],MATCH(ROWS(Table1[]) - (ROW()-4),Table1[Rank], 0), 1)</f>
        <v>4</v>
      </c>
      <c r="Q16" t="str">
        <f ca="1">INDEX(Table1[],MATCH(ROWS(Table1[]) - (ROW()-4),Table1[Rank], 0), 2)</f>
        <v>d4</v>
      </c>
      <c r="R16">
        <f ca="1">INDEX(Table1[],MATCH(ROWS(Table1[]) - (ROW()-4),Table1[Rank], 0), 3)</f>
        <v>13.32</v>
      </c>
    </row>
    <row r="17" spans="2:18" x14ac:dyDescent="0.25">
      <c r="B17" s="4">
        <f t="shared" si="9"/>
        <v>14</v>
      </c>
      <c r="C17" s="6">
        <f t="shared" si="3"/>
        <v>46.620000000000005</v>
      </c>
      <c r="D17" s="6">
        <f t="shared" si="4"/>
        <v>58.800000000000004</v>
      </c>
      <c r="E17" s="6">
        <f t="shared" si="5"/>
        <v>71.959999999999994</v>
      </c>
      <c r="F17" s="6">
        <f t="shared" si="6"/>
        <v>85.54</v>
      </c>
      <c r="G17" s="6">
        <f t="shared" si="7"/>
        <v>99.259999999999991</v>
      </c>
      <c r="H17" s="7">
        <f t="shared" si="8"/>
        <v>154.70000000000002</v>
      </c>
      <c r="J17" s="16">
        <f t="shared" si="0"/>
        <v>3</v>
      </c>
      <c r="K17" s="2" t="str">
        <f t="shared" ca="1" si="1"/>
        <v>d6</v>
      </c>
      <c r="L17" s="17">
        <f t="shared" ca="1" si="2"/>
        <v>12.600000000000001</v>
      </c>
      <c r="M17">
        <f ca="1">_xlfn.RANK.EQ(Table1[[#This Row],[Average]],Table1[Average])</f>
        <v>169</v>
      </c>
      <c r="O17">
        <f ca="1">INDEX(Table1[],MATCH(ROWS(Table1[]) - (ROW()-4),Table1[Rank], 0), 4)</f>
        <v>167</v>
      </c>
      <c r="P17">
        <f ca="1">INDEX(Table1[],MATCH(ROWS(Table1[]) - (ROW()-4),Table1[Rank], 0), 1)</f>
        <v>2</v>
      </c>
      <c r="Q17" t="str">
        <f ca="1">INDEX(Table1[],MATCH(ROWS(Table1[]) - (ROW()-4),Table1[Rank], 0), 2)</f>
        <v>d12</v>
      </c>
      <c r="R17">
        <f ca="1">INDEX(Table1[],MATCH(ROWS(Table1[]) - (ROW()-4),Table1[Rank], 0), 3)</f>
        <v>14.18</v>
      </c>
    </row>
    <row r="18" spans="2:18" x14ac:dyDescent="0.25">
      <c r="B18" s="4">
        <f t="shared" si="9"/>
        <v>15</v>
      </c>
      <c r="C18" s="6">
        <f t="shared" si="3"/>
        <v>49.95</v>
      </c>
      <c r="D18" s="6">
        <f t="shared" si="4"/>
        <v>63</v>
      </c>
      <c r="E18" s="6">
        <f t="shared" si="5"/>
        <v>77.099999999999994</v>
      </c>
      <c r="F18" s="6">
        <f t="shared" si="6"/>
        <v>91.65</v>
      </c>
      <c r="G18" s="6">
        <f t="shared" si="7"/>
        <v>106.35</v>
      </c>
      <c r="H18" s="7">
        <f t="shared" si="8"/>
        <v>165.75</v>
      </c>
      <c r="J18" s="16">
        <f t="shared" si="0"/>
        <v>3</v>
      </c>
      <c r="K18" s="2" t="str">
        <f t="shared" ca="1" si="1"/>
        <v>d8</v>
      </c>
      <c r="L18" s="17">
        <f t="shared" ca="1" si="2"/>
        <v>15.419999999999998</v>
      </c>
      <c r="M18">
        <f ca="1">_xlfn.RANK.EQ(Table1[[#This Row],[Average]],Table1[Average])</f>
        <v>166</v>
      </c>
      <c r="O18">
        <f ca="1">INDEX(Table1[],MATCH(ROWS(Table1[]) - (ROW()-4),Table1[Rank], 0), 4)</f>
        <v>166</v>
      </c>
      <c r="P18">
        <f ca="1">INDEX(Table1[],MATCH(ROWS(Table1[]) - (ROW()-4),Table1[Rank], 0), 1)</f>
        <v>3</v>
      </c>
      <c r="Q18" t="str">
        <f ca="1">INDEX(Table1[],MATCH(ROWS(Table1[]) - (ROW()-4),Table1[Rank], 0), 2)</f>
        <v>d8</v>
      </c>
      <c r="R18">
        <f ca="1">INDEX(Table1[],MATCH(ROWS(Table1[]) - (ROW()-4),Table1[Rank], 0), 3)</f>
        <v>15.419999999999998</v>
      </c>
    </row>
    <row r="19" spans="2:18" x14ac:dyDescent="0.25">
      <c r="B19" s="4">
        <f t="shared" si="9"/>
        <v>16</v>
      </c>
      <c r="C19" s="6">
        <f t="shared" si="3"/>
        <v>53.28</v>
      </c>
      <c r="D19" s="6">
        <f t="shared" si="4"/>
        <v>67.2</v>
      </c>
      <c r="E19" s="6">
        <f t="shared" si="5"/>
        <v>82.24</v>
      </c>
      <c r="F19" s="6">
        <f t="shared" si="6"/>
        <v>97.76</v>
      </c>
      <c r="G19" s="6">
        <f t="shared" si="7"/>
        <v>113.44</v>
      </c>
      <c r="H19" s="7">
        <f t="shared" si="8"/>
        <v>176.8</v>
      </c>
      <c r="J19" s="16">
        <f t="shared" si="0"/>
        <v>3</v>
      </c>
      <c r="K19" s="2" t="str">
        <f t="shared" ca="1" si="1"/>
        <v>d10</v>
      </c>
      <c r="L19" s="17">
        <f t="shared" ca="1" si="2"/>
        <v>18.330000000000002</v>
      </c>
      <c r="M19">
        <f ca="1">_xlfn.RANK.EQ(Table1[[#This Row],[Average]],Table1[Average])</f>
        <v>163</v>
      </c>
      <c r="O19">
        <f ca="1">INDEX(Table1[],MATCH(ROWS(Table1[]) - (ROW()-4),Table1[Rank], 0), 4)</f>
        <v>165</v>
      </c>
      <c r="P19">
        <f ca="1">INDEX(Table1[],MATCH(ROWS(Table1[]) - (ROW()-4),Table1[Rank], 0), 1)</f>
        <v>5</v>
      </c>
      <c r="Q19" t="str">
        <f ca="1">INDEX(Table1[],MATCH(ROWS(Table1[]) - (ROW()-4),Table1[Rank], 0), 2)</f>
        <v>d4</v>
      </c>
      <c r="R19">
        <f ca="1">INDEX(Table1[],MATCH(ROWS(Table1[]) - (ROW()-4),Table1[Rank], 0), 3)</f>
        <v>16.649999999999999</v>
      </c>
    </row>
    <row r="20" spans="2:18" x14ac:dyDescent="0.25">
      <c r="B20" s="4">
        <f t="shared" si="9"/>
        <v>17</v>
      </c>
      <c r="C20" s="6">
        <f t="shared" si="3"/>
        <v>56.61</v>
      </c>
      <c r="D20" s="6">
        <f t="shared" si="4"/>
        <v>71.400000000000006</v>
      </c>
      <c r="E20" s="6">
        <f t="shared" si="5"/>
        <v>87.38</v>
      </c>
      <c r="F20" s="6">
        <f t="shared" si="6"/>
        <v>103.87</v>
      </c>
      <c r="G20" s="6">
        <f t="shared" si="7"/>
        <v>120.53</v>
      </c>
      <c r="H20" s="7">
        <f t="shared" si="8"/>
        <v>187.85000000000002</v>
      </c>
      <c r="J20" s="16">
        <f t="shared" si="0"/>
        <v>3</v>
      </c>
      <c r="K20" s="2" t="str">
        <f t="shared" ca="1" si="1"/>
        <v>d12</v>
      </c>
      <c r="L20" s="17">
        <f t="shared" ca="1" si="2"/>
        <v>21.27</v>
      </c>
      <c r="M20">
        <f ca="1">_xlfn.RANK.EQ(Table1[[#This Row],[Average]],Table1[Average])</f>
        <v>159</v>
      </c>
      <c r="O20">
        <f ca="1">INDEX(Table1[],MATCH(ROWS(Table1[]) - (ROW()-4),Table1[Rank], 0), 4)</f>
        <v>164</v>
      </c>
      <c r="P20">
        <f ca="1">INDEX(Table1[],MATCH(ROWS(Table1[]) - (ROW()-4),Table1[Rank], 0), 1)</f>
        <v>4</v>
      </c>
      <c r="Q20" t="str">
        <f ca="1">INDEX(Table1[],MATCH(ROWS(Table1[]) - (ROW()-4),Table1[Rank], 0), 2)</f>
        <v>d6</v>
      </c>
      <c r="R20">
        <f ca="1">INDEX(Table1[],MATCH(ROWS(Table1[]) - (ROW()-4),Table1[Rank], 0), 3)</f>
        <v>16.8</v>
      </c>
    </row>
    <row r="21" spans="2:18" x14ac:dyDescent="0.25">
      <c r="B21" s="4">
        <f t="shared" si="9"/>
        <v>18</v>
      </c>
      <c r="C21" s="6">
        <f t="shared" si="3"/>
        <v>59.94</v>
      </c>
      <c r="D21" s="6">
        <f t="shared" si="4"/>
        <v>75.600000000000009</v>
      </c>
      <c r="E21" s="6">
        <f t="shared" si="5"/>
        <v>92.52</v>
      </c>
      <c r="F21" s="6">
        <f t="shared" si="6"/>
        <v>109.98</v>
      </c>
      <c r="G21" s="6">
        <f t="shared" si="7"/>
        <v>127.62</v>
      </c>
      <c r="H21" s="7">
        <f t="shared" si="8"/>
        <v>198.9</v>
      </c>
      <c r="J21" s="1">
        <f t="shared" si="0"/>
        <v>3</v>
      </c>
      <c r="K21" s="2" t="str">
        <f t="shared" ca="1" si="1"/>
        <v>d20</v>
      </c>
      <c r="L21">
        <f t="shared" ca="1" si="2"/>
        <v>33.150000000000006</v>
      </c>
      <c r="M21">
        <f ca="1">_xlfn.RANK.EQ(Table1[[#This Row],[Average]],Table1[Average])</f>
        <v>147</v>
      </c>
      <c r="O21">
        <f ca="1">INDEX(Table1[],MATCH(ROWS(Table1[]) - (ROW()-4),Table1[Rank], 0), 4)</f>
        <v>163</v>
      </c>
      <c r="P21">
        <f ca="1">INDEX(Table1[],MATCH(ROWS(Table1[]) - (ROW()-4),Table1[Rank], 0), 1)</f>
        <v>3</v>
      </c>
      <c r="Q21" t="str">
        <f ca="1">INDEX(Table1[],MATCH(ROWS(Table1[]) - (ROW()-4),Table1[Rank], 0), 2)</f>
        <v>d10</v>
      </c>
      <c r="R21">
        <f ca="1">INDEX(Table1[],MATCH(ROWS(Table1[]) - (ROW()-4),Table1[Rank], 0), 3)</f>
        <v>18.330000000000002</v>
      </c>
    </row>
    <row r="22" spans="2:18" x14ac:dyDescent="0.25">
      <c r="B22" s="4">
        <f t="shared" si="9"/>
        <v>19</v>
      </c>
      <c r="C22" s="6">
        <f t="shared" si="3"/>
        <v>63.27</v>
      </c>
      <c r="D22" s="6">
        <f t="shared" si="4"/>
        <v>79.8</v>
      </c>
      <c r="E22" s="6">
        <f t="shared" si="5"/>
        <v>97.66</v>
      </c>
      <c r="F22" s="6">
        <f t="shared" si="6"/>
        <v>116.09</v>
      </c>
      <c r="G22" s="6">
        <f t="shared" si="7"/>
        <v>134.71</v>
      </c>
      <c r="H22" s="7">
        <f t="shared" si="8"/>
        <v>209.95000000000002</v>
      </c>
      <c r="J22" s="1">
        <f t="shared" si="0"/>
        <v>4</v>
      </c>
      <c r="K22" s="2" t="str">
        <f t="shared" ca="1" si="1"/>
        <v>d4</v>
      </c>
      <c r="L22">
        <f t="shared" ca="1" si="2"/>
        <v>13.32</v>
      </c>
      <c r="M22">
        <f ca="1">_xlfn.RANK.EQ(Table1[[#This Row],[Average]],Table1[Average])</f>
        <v>168</v>
      </c>
      <c r="O22">
        <f ca="1">INDEX(Table1[],MATCH(ROWS(Table1[]) - (ROW()-4),Table1[Rank], 0), 4)</f>
        <v>162</v>
      </c>
      <c r="P22">
        <f ca="1">INDEX(Table1[],MATCH(ROWS(Table1[]) - (ROW()-4),Table1[Rank], 0), 1)</f>
        <v>6</v>
      </c>
      <c r="Q22" t="str">
        <f ca="1">INDEX(Table1[],MATCH(ROWS(Table1[]) - (ROW()-4),Table1[Rank], 0), 2)</f>
        <v>d4</v>
      </c>
      <c r="R22">
        <f ca="1">INDEX(Table1[],MATCH(ROWS(Table1[]) - (ROW()-4),Table1[Rank], 0), 3)</f>
        <v>19.98</v>
      </c>
    </row>
    <row r="23" spans="2:18" x14ac:dyDescent="0.25">
      <c r="B23" s="4">
        <f t="shared" si="9"/>
        <v>20</v>
      </c>
      <c r="C23" s="6">
        <f t="shared" si="3"/>
        <v>66.599999999999994</v>
      </c>
      <c r="D23" s="6">
        <f t="shared" si="4"/>
        <v>84</v>
      </c>
      <c r="E23" s="6">
        <f t="shared" si="5"/>
        <v>102.8</v>
      </c>
      <c r="F23" s="6">
        <f t="shared" si="6"/>
        <v>122.2</v>
      </c>
      <c r="G23" s="6">
        <f t="shared" si="7"/>
        <v>141.80000000000001</v>
      </c>
      <c r="H23" s="7">
        <f t="shared" si="8"/>
        <v>221</v>
      </c>
      <c r="J23" s="1">
        <f t="shared" si="0"/>
        <v>4</v>
      </c>
      <c r="K23" s="2" t="str">
        <f t="shared" ca="1" si="1"/>
        <v>d6</v>
      </c>
      <c r="L23">
        <f t="shared" ca="1" si="2"/>
        <v>16.8</v>
      </c>
      <c r="M23">
        <f ca="1">_xlfn.RANK.EQ(Table1[[#This Row],[Average]],Table1[Average])</f>
        <v>164</v>
      </c>
      <c r="O23">
        <f ca="1">INDEX(Table1[],MATCH(ROWS(Table1[]) - (ROW()-4),Table1[Rank], 0), 4)</f>
        <v>161</v>
      </c>
      <c r="P23">
        <f ca="1">INDEX(Table1[],MATCH(ROWS(Table1[]) - (ROW()-4),Table1[Rank], 0), 1)</f>
        <v>4</v>
      </c>
      <c r="Q23" t="str">
        <f ca="1">INDEX(Table1[],MATCH(ROWS(Table1[]) - (ROW()-4),Table1[Rank], 0), 2)</f>
        <v>d8</v>
      </c>
      <c r="R23">
        <f ca="1">INDEX(Table1[],MATCH(ROWS(Table1[]) - (ROW()-4),Table1[Rank], 0), 3)</f>
        <v>20.56</v>
      </c>
    </row>
    <row r="24" spans="2:18" x14ac:dyDescent="0.25">
      <c r="B24" s="4">
        <f t="shared" si="9"/>
        <v>21</v>
      </c>
      <c r="C24" s="6">
        <f t="shared" si="3"/>
        <v>69.930000000000007</v>
      </c>
      <c r="D24" s="6">
        <f t="shared" si="4"/>
        <v>88.2</v>
      </c>
      <c r="E24" s="6">
        <f t="shared" si="5"/>
        <v>107.94</v>
      </c>
      <c r="F24" s="6">
        <f t="shared" si="6"/>
        <v>128.31</v>
      </c>
      <c r="G24" s="6">
        <f t="shared" si="7"/>
        <v>148.88999999999999</v>
      </c>
      <c r="H24" s="7">
        <f t="shared" si="8"/>
        <v>232.05</v>
      </c>
      <c r="J24" s="1">
        <f t="shared" si="0"/>
        <v>4</v>
      </c>
      <c r="K24" s="2" t="str">
        <f t="shared" ca="1" si="1"/>
        <v>d8</v>
      </c>
      <c r="L24">
        <f t="shared" ca="1" si="2"/>
        <v>20.56</v>
      </c>
      <c r="M24">
        <f ca="1">_xlfn.RANK.EQ(Table1[[#This Row],[Average]],Table1[Average])</f>
        <v>161</v>
      </c>
      <c r="O24">
        <f ca="1">INDEX(Table1[],MATCH(ROWS(Table1[]) - (ROW()-4),Table1[Rank], 0), 4)</f>
        <v>160</v>
      </c>
      <c r="P24">
        <f ca="1">INDEX(Table1[],MATCH(ROWS(Table1[]) - (ROW()-4),Table1[Rank], 0), 1)</f>
        <v>5</v>
      </c>
      <c r="Q24" t="str">
        <f ca="1">INDEX(Table1[],MATCH(ROWS(Table1[]) - (ROW()-4),Table1[Rank], 0), 2)</f>
        <v>d6</v>
      </c>
      <c r="R24">
        <f ca="1">INDEX(Table1[],MATCH(ROWS(Table1[]) - (ROW()-4),Table1[Rank], 0), 3)</f>
        <v>21</v>
      </c>
    </row>
    <row r="25" spans="2:18" x14ac:dyDescent="0.25">
      <c r="B25" s="4">
        <f t="shared" si="9"/>
        <v>22</v>
      </c>
      <c r="C25" s="6">
        <f t="shared" si="3"/>
        <v>73.260000000000005</v>
      </c>
      <c r="D25" s="6">
        <f t="shared" si="4"/>
        <v>92.4</v>
      </c>
      <c r="E25" s="6">
        <f t="shared" si="5"/>
        <v>113.08</v>
      </c>
      <c r="F25" s="6">
        <f t="shared" si="6"/>
        <v>134.42000000000002</v>
      </c>
      <c r="G25" s="6">
        <f t="shared" si="7"/>
        <v>155.97999999999999</v>
      </c>
      <c r="H25" s="7">
        <f t="shared" si="8"/>
        <v>243.10000000000002</v>
      </c>
      <c r="J25" s="16">
        <f t="shared" si="0"/>
        <v>4</v>
      </c>
      <c r="K25" s="2" t="str">
        <f t="shared" ca="1" si="1"/>
        <v>d10</v>
      </c>
      <c r="L25" s="17">
        <f t="shared" ca="1" si="2"/>
        <v>24.44</v>
      </c>
      <c r="M25">
        <f ca="1">_xlfn.RANK.EQ(Table1[[#This Row],[Average]],Table1[Average])</f>
        <v>156</v>
      </c>
      <c r="O25">
        <f ca="1">INDEX(Table1[],MATCH(ROWS(Table1[]) - (ROW()-4),Table1[Rank], 0), 4)</f>
        <v>159</v>
      </c>
      <c r="P25">
        <f ca="1">INDEX(Table1[],MATCH(ROWS(Table1[]) - (ROW()-4),Table1[Rank], 0), 1)</f>
        <v>3</v>
      </c>
      <c r="Q25" t="str">
        <f ca="1">INDEX(Table1[],MATCH(ROWS(Table1[]) - (ROW()-4),Table1[Rank], 0), 2)</f>
        <v>d12</v>
      </c>
      <c r="R25">
        <f ca="1">INDEX(Table1[],MATCH(ROWS(Table1[]) - (ROW()-4),Table1[Rank], 0), 3)</f>
        <v>21.27</v>
      </c>
    </row>
    <row r="26" spans="2:18" x14ac:dyDescent="0.25">
      <c r="B26" s="4">
        <f t="shared" si="9"/>
        <v>23</v>
      </c>
      <c r="C26" s="6">
        <f t="shared" si="3"/>
        <v>76.59</v>
      </c>
      <c r="D26" s="6">
        <f t="shared" si="4"/>
        <v>96.600000000000009</v>
      </c>
      <c r="E26" s="6">
        <f t="shared" si="5"/>
        <v>118.22</v>
      </c>
      <c r="F26" s="6">
        <f t="shared" si="6"/>
        <v>140.53</v>
      </c>
      <c r="G26" s="6">
        <f t="shared" si="7"/>
        <v>163.07</v>
      </c>
      <c r="H26" s="7">
        <f t="shared" si="8"/>
        <v>254.15</v>
      </c>
      <c r="J26" s="16">
        <f t="shared" si="0"/>
        <v>4</v>
      </c>
      <c r="K26" s="2" t="str">
        <f t="shared" ca="1" si="1"/>
        <v>d12</v>
      </c>
      <c r="L26" s="17">
        <f t="shared" ca="1" si="2"/>
        <v>28.36</v>
      </c>
      <c r="M26">
        <f ca="1">_xlfn.RANK.EQ(Table1[[#This Row],[Average]],Table1[Average])</f>
        <v>152</v>
      </c>
      <c r="O26">
        <f ca="1">INDEX(Table1[],MATCH(ROWS(Table1[]) - (ROW()-4),Table1[Rank], 0), 4)</f>
        <v>158</v>
      </c>
      <c r="P26">
        <f ca="1">INDEX(Table1[],MATCH(ROWS(Table1[]) - (ROW()-4),Table1[Rank], 0), 1)</f>
        <v>2</v>
      </c>
      <c r="Q26" t="str">
        <f ca="1">INDEX(Table1[],MATCH(ROWS(Table1[]) - (ROW()-4),Table1[Rank], 0), 2)</f>
        <v>d20</v>
      </c>
      <c r="R26">
        <f ca="1">INDEX(Table1[],MATCH(ROWS(Table1[]) - (ROW()-4),Table1[Rank], 0), 3)</f>
        <v>22.1</v>
      </c>
    </row>
    <row r="27" spans="2:18" x14ac:dyDescent="0.25">
      <c r="B27" s="4">
        <f t="shared" si="9"/>
        <v>24</v>
      </c>
      <c r="C27" s="6">
        <f t="shared" si="3"/>
        <v>79.92</v>
      </c>
      <c r="D27" s="6">
        <f t="shared" si="4"/>
        <v>100.80000000000001</v>
      </c>
      <c r="E27" s="6">
        <f t="shared" si="5"/>
        <v>123.35999999999999</v>
      </c>
      <c r="F27" s="6">
        <f t="shared" si="6"/>
        <v>146.64000000000001</v>
      </c>
      <c r="G27" s="6">
        <f t="shared" si="7"/>
        <v>170.16</v>
      </c>
      <c r="H27" s="7">
        <f t="shared" si="8"/>
        <v>265.20000000000005</v>
      </c>
      <c r="J27" s="16">
        <f t="shared" si="0"/>
        <v>4</v>
      </c>
      <c r="K27" s="2" t="str">
        <f t="shared" ca="1" si="1"/>
        <v>d20</v>
      </c>
      <c r="L27" s="17">
        <f t="shared" ca="1" si="2"/>
        <v>44.2</v>
      </c>
      <c r="M27">
        <f ca="1">_xlfn.RANK.EQ(Table1[[#This Row],[Average]],Table1[Average])</f>
        <v>133</v>
      </c>
      <c r="O27">
        <f ca="1">INDEX(Table1[],MATCH(ROWS(Table1[]) - (ROW()-4),Table1[Rank], 0), 4)</f>
        <v>157</v>
      </c>
      <c r="P27">
        <f ca="1">INDEX(Table1[],MATCH(ROWS(Table1[]) - (ROW()-4),Table1[Rank], 0), 1)</f>
        <v>7</v>
      </c>
      <c r="Q27" t="str">
        <f ca="1">INDEX(Table1[],MATCH(ROWS(Table1[]) - (ROW()-4),Table1[Rank], 0), 2)</f>
        <v>d4</v>
      </c>
      <c r="R27">
        <f ca="1">INDEX(Table1[],MATCH(ROWS(Table1[]) - (ROW()-4),Table1[Rank], 0), 3)</f>
        <v>23.310000000000002</v>
      </c>
    </row>
    <row r="28" spans="2:18" x14ac:dyDescent="0.25">
      <c r="B28" s="4">
        <f t="shared" si="9"/>
        <v>25</v>
      </c>
      <c r="C28" s="6">
        <f t="shared" si="3"/>
        <v>83.25</v>
      </c>
      <c r="D28" s="6">
        <f t="shared" si="4"/>
        <v>105</v>
      </c>
      <c r="E28" s="6">
        <f t="shared" si="5"/>
        <v>128.5</v>
      </c>
      <c r="F28" s="6">
        <f t="shared" si="6"/>
        <v>152.75</v>
      </c>
      <c r="G28" s="6">
        <f t="shared" si="7"/>
        <v>177.25</v>
      </c>
      <c r="H28" s="7">
        <f t="shared" si="8"/>
        <v>276.25</v>
      </c>
      <c r="J28" s="1">
        <f t="shared" si="0"/>
        <v>5</v>
      </c>
      <c r="K28" s="2" t="str">
        <f t="shared" ca="1" si="1"/>
        <v>d4</v>
      </c>
      <c r="L28">
        <f t="shared" ca="1" si="2"/>
        <v>16.649999999999999</v>
      </c>
      <c r="M28">
        <f ca="1">_xlfn.RANK.EQ(Table1[[#This Row],[Average]],Table1[Average])</f>
        <v>165</v>
      </c>
      <c r="O28">
        <f ca="1">INDEX(Table1[],MATCH(ROWS(Table1[]) - (ROW()-4),Table1[Rank], 0), 4)</f>
        <v>156</v>
      </c>
      <c r="P28">
        <f ca="1">INDEX(Table1[],MATCH(ROWS(Table1[]) - (ROW()-4),Table1[Rank], 0), 1)</f>
        <v>4</v>
      </c>
      <c r="Q28" t="str">
        <f ca="1">INDEX(Table1[],MATCH(ROWS(Table1[]) - (ROW()-4),Table1[Rank], 0), 2)</f>
        <v>d10</v>
      </c>
      <c r="R28">
        <f ca="1">INDEX(Table1[],MATCH(ROWS(Table1[]) - (ROW()-4),Table1[Rank], 0), 3)</f>
        <v>24.44</v>
      </c>
    </row>
    <row r="29" spans="2:18" x14ac:dyDescent="0.25">
      <c r="B29" s="4">
        <f t="shared" si="9"/>
        <v>26</v>
      </c>
      <c r="C29" s="6">
        <f t="shared" si="3"/>
        <v>86.58</v>
      </c>
      <c r="D29" s="6">
        <f t="shared" si="4"/>
        <v>109.2</v>
      </c>
      <c r="E29" s="6">
        <f t="shared" si="5"/>
        <v>133.63999999999999</v>
      </c>
      <c r="F29" s="6">
        <f t="shared" si="6"/>
        <v>158.86000000000001</v>
      </c>
      <c r="G29" s="6">
        <f t="shared" si="7"/>
        <v>184.34</v>
      </c>
      <c r="H29" s="7">
        <f t="shared" si="8"/>
        <v>287.3</v>
      </c>
      <c r="J29" s="1">
        <f t="shared" si="0"/>
        <v>5</v>
      </c>
      <c r="K29" s="2" t="str">
        <f t="shared" ca="1" si="1"/>
        <v>d6</v>
      </c>
      <c r="L29">
        <f t="shared" ca="1" si="2"/>
        <v>21</v>
      </c>
      <c r="M29">
        <f ca="1">_xlfn.RANK.EQ(Table1[[#This Row],[Average]],Table1[Average])</f>
        <v>160</v>
      </c>
      <c r="O29">
        <f ca="1">INDEX(Table1[],MATCH(ROWS(Table1[]) - (ROW()-4),Table1[Rank], 0), 4)</f>
        <v>155</v>
      </c>
      <c r="P29">
        <f ca="1">INDEX(Table1[],MATCH(ROWS(Table1[]) - (ROW()-4),Table1[Rank], 0), 1)</f>
        <v>6</v>
      </c>
      <c r="Q29" t="str">
        <f ca="1">INDEX(Table1[],MATCH(ROWS(Table1[]) - (ROW()-4),Table1[Rank], 0), 2)</f>
        <v>d6</v>
      </c>
      <c r="R29">
        <f ca="1">INDEX(Table1[],MATCH(ROWS(Table1[]) - (ROW()-4),Table1[Rank], 0), 3)</f>
        <v>25.200000000000003</v>
      </c>
    </row>
    <row r="30" spans="2:18" x14ac:dyDescent="0.25">
      <c r="B30" s="4">
        <f t="shared" si="9"/>
        <v>27</v>
      </c>
      <c r="C30" s="6">
        <f t="shared" si="3"/>
        <v>89.91</v>
      </c>
      <c r="D30" s="6">
        <f t="shared" si="4"/>
        <v>113.4</v>
      </c>
      <c r="E30" s="6">
        <f t="shared" si="5"/>
        <v>138.78</v>
      </c>
      <c r="F30" s="6">
        <f t="shared" si="6"/>
        <v>164.97</v>
      </c>
      <c r="G30" s="6">
        <f t="shared" si="7"/>
        <v>191.43</v>
      </c>
      <c r="H30" s="7">
        <f t="shared" si="8"/>
        <v>298.35000000000002</v>
      </c>
      <c r="J30" s="16">
        <f t="shared" si="0"/>
        <v>5</v>
      </c>
      <c r="K30" s="2" t="str">
        <f t="shared" ca="1" si="1"/>
        <v>d8</v>
      </c>
      <c r="L30" s="17">
        <f t="shared" ca="1" si="2"/>
        <v>25.7</v>
      </c>
      <c r="M30">
        <f ca="1">_xlfn.RANK.EQ(Table1[[#This Row],[Average]],Table1[Average])</f>
        <v>154</v>
      </c>
      <c r="O30">
        <f ca="1">INDEX(Table1[],MATCH(ROWS(Table1[]) - (ROW()-4),Table1[Rank], 0), 4)</f>
        <v>154</v>
      </c>
      <c r="P30">
        <f ca="1">INDEX(Table1[],MATCH(ROWS(Table1[]) - (ROW()-4),Table1[Rank], 0), 1)</f>
        <v>5</v>
      </c>
      <c r="Q30" t="str">
        <f ca="1">INDEX(Table1[],MATCH(ROWS(Table1[]) - (ROW()-4),Table1[Rank], 0), 2)</f>
        <v>d8</v>
      </c>
      <c r="R30">
        <f ca="1">INDEX(Table1[],MATCH(ROWS(Table1[]) - (ROW()-4),Table1[Rank], 0), 3)</f>
        <v>25.7</v>
      </c>
    </row>
    <row r="31" spans="2:18" x14ac:dyDescent="0.25">
      <c r="B31" s="4">
        <f t="shared" si="9"/>
        <v>28</v>
      </c>
      <c r="C31" s="6">
        <f t="shared" si="3"/>
        <v>93.240000000000009</v>
      </c>
      <c r="D31" s="6">
        <f t="shared" si="4"/>
        <v>117.60000000000001</v>
      </c>
      <c r="E31" s="6">
        <f t="shared" si="5"/>
        <v>143.91999999999999</v>
      </c>
      <c r="F31" s="6">
        <f t="shared" si="6"/>
        <v>171.08</v>
      </c>
      <c r="G31" s="6">
        <f t="shared" si="7"/>
        <v>198.51999999999998</v>
      </c>
      <c r="H31" s="7">
        <f t="shared" si="8"/>
        <v>309.40000000000003</v>
      </c>
      <c r="J31" s="16">
        <f t="shared" si="0"/>
        <v>5</v>
      </c>
      <c r="K31" s="2" t="str">
        <f t="shared" ca="1" si="1"/>
        <v>d10</v>
      </c>
      <c r="L31" s="17">
        <f t="shared" ca="1" si="2"/>
        <v>30.55</v>
      </c>
      <c r="M31">
        <f ca="1">_xlfn.RANK.EQ(Table1[[#This Row],[Average]],Table1[Average])</f>
        <v>149</v>
      </c>
      <c r="O31">
        <f ca="1">INDEX(Table1[],MATCH(ROWS(Table1[]) - (ROW()-4),Table1[Rank], 0), 4)</f>
        <v>153</v>
      </c>
      <c r="P31">
        <f ca="1">INDEX(Table1[],MATCH(ROWS(Table1[]) - (ROW()-4),Table1[Rank], 0), 1)</f>
        <v>8</v>
      </c>
      <c r="Q31" t="str">
        <f ca="1">INDEX(Table1[],MATCH(ROWS(Table1[]) - (ROW()-4),Table1[Rank], 0), 2)</f>
        <v>d4</v>
      </c>
      <c r="R31">
        <f ca="1">INDEX(Table1[],MATCH(ROWS(Table1[]) - (ROW()-4),Table1[Rank], 0), 3)</f>
        <v>26.64</v>
      </c>
    </row>
    <row r="32" spans="2:18" x14ac:dyDescent="0.25">
      <c r="B32" s="4">
        <f t="shared" si="9"/>
        <v>29</v>
      </c>
      <c r="C32" s="6">
        <f t="shared" si="3"/>
        <v>96.570000000000007</v>
      </c>
      <c r="D32" s="6">
        <f t="shared" si="4"/>
        <v>121.80000000000001</v>
      </c>
      <c r="E32" s="6">
        <f t="shared" si="5"/>
        <v>149.06</v>
      </c>
      <c r="F32" s="6">
        <f t="shared" si="6"/>
        <v>177.19</v>
      </c>
      <c r="G32" s="6">
        <f t="shared" si="7"/>
        <v>205.60999999999999</v>
      </c>
      <c r="H32" s="7">
        <f t="shared" si="8"/>
        <v>320.45000000000005</v>
      </c>
      <c r="J32" s="16">
        <f t="shared" si="0"/>
        <v>5</v>
      </c>
      <c r="K32" s="2" t="str">
        <f t="shared" ca="1" si="1"/>
        <v>d12</v>
      </c>
      <c r="L32" s="17">
        <f t="shared" ca="1" si="2"/>
        <v>35.450000000000003</v>
      </c>
      <c r="M32">
        <f ca="1">_xlfn.RANK.EQ(Table1[[#This Row],[Average]],Table1[Average])</f>
        <v>144</v>
      </c>
      <c r="O32">
        <f ca="1">INDEX(Table1[],MATCH(ROWS(Table1[]) - (ROW()-4),Table1[Rank], 0), 4)</f>
        <v>152</v>
      </c>
      <c r="P32">
        <f ca="1">INDEX(Table1[],MATCH(ROWS(Table1[]) - (ROW()-4),Table1[Rank], 0), 1)</f>
        <v>4</v>
      </c>
      <c r="Q32" t="str">
        <f ca="1">INDEX(Table1[],MATCH(ROWS(Table1[]) - (ROW()-4),Table1[Rank], 0), 2)</f>
        <v>d12</v>
      </c>
      <c r="R32">
        <f ca="1">INDEX(Table1[],MATCH(ROWS(Table1[]) - (ROW()-4),Table1[Rank], 0), 3)</f>
        <v>28.36</v>
      </c>
    </row>
    <row r="33" spans="2:18" ht="15.75" thickBot="1" x14ac:dyDescent="0.3">
      <c r="B33" s="5">
        <f t="shared" si="9"/>
        <v>30</v>
      </c>
      <c r="C33" s="8">
        <f t="shared" si="3"/>
        <v>99.9</v>
      </c>
      <c r="D33" s="8">
        <f t="shared" si="4"/>
        <v>126</v>
      </c>
      <c r="E33" s="8">
        <f t="shared" si="5"/>
        <v>154.19999999999999</v>
      </c>
      <c r="F33" s="8">
        <f t="shared" si="6"/>
        <v>183.3</v>
      </c>
      <c r="G33" s="8">
        <f t="shared" si="7"/>
        <v>212.7</v>
      </c>
      <c r="H33" s="9">
        <f t="shared" si="8"/>
        <v>331.5</v>
      </c>
      <c r="J33" s="16">
        <f t="shared" si="0"/>
        <v>5</v>
      </c>
      <c r="K33" s="2" t="str">
        <f t="shared" ca="1" si="1"/>
        <v>d20</v>
      </c>
      <c r="L33" s="17">
        <f t="shared" ca="1" si="2"/>
        <v>55.25</v>
      </c>
      <c r="M33">
        <f ca="1">_xlfn.RANK.EQ(Table1[[#This Row],[Average]],Table1[Average])</f>
        <v>121</v>
      </c>
      <c r="O33">
        <f ca="1">INDEX(Table1[],MATCH(ROWS(Table1[]) - (ROW()-4),Table1[Rank], 0), 4)</f>
        <v>151</v>
      </c>
      <c r="P33">
        <f ca="1">INDEX(Table1[],MATCH(ROWS(Table1[]) - (ROW()-4),Table1[Rank], 0), 1)</f>
        <v>7</v>
      </c>
      <c r="Q33" t="str">
        <f ca="1">INDEX(Table1[],MATCH(ROWS(Table1[]) - (ROW()-4),Table1[Rank], 0), 2)</f>
        <v>d6</v>
      </c>
      <c r="R33">
        <f ca="1">INDEX(Table1[],MATCH(ROWS(Table1[]) - (ROW()-4),Table1[Rank], 0), 3)</f>
        <v>29.400000000000002</v>
      </c>
    </row>
    <row r="34" spans="2:18" x14ac:dyDescent="0.25">
      <c r="J34" s="16">
        <f t="shared" si="0"/>
        <v>6</v>
      </c>
      <c r="K34" s="2" t="str">
        <f t="shared" ca="1" si="1"/>
        <v>d4</v>
      </c>
      <c r="L34" s="17">
        <f t="shared" ca="1" si="2"/>
        <v>19.98</v>
      </c>
      <c r="M34">
        <f ca="1">_xlfn.RANK.EQ(Table1[[#This Row],[Average]],Table1[Average])</f>
        <v>162</v>
      </c>
      <c r="O34">
        <f ca="1">INDEX(Table1[],MATCH(ROWS(Table1[]) - (ROW()-4),Table1[Rank], 0), 4)</f>
        <v>150</v>
      </c>
      <c r="P34">
        <f ca="1">INDEX(Table1[],MATCH(ROWS(Table1[]) - (ROW()-4),Table1[Rank], 0), 1)</f>
        <v>9</v>
      </c>
      <c r="Q34" t="str">
        <f ca="1">INDEX(Table1[],MATCH(ROWS(Table1[]) - (ROW()-4),Table1[Rank], 0), 2)</f>
        <v>d4</v>
      </c>
      <c r="R34">
        <f ca="1">INDEX(Table1[],MATCH(ROWS(Table1[]) - (ROW()-4),Table1[Rank], 0), 3)</f>
        <v>29.97</v>
      </c>
    </row>
    <row r="35" spans="2:18" x14ac:dyDescent="0.25">
      <c r="J35" s="16">
        <f t="shared" si="0"/>
        <v>6</v>
      </c>
      <c r="K35" s="2" t="str">
        <f t="shared" ca="1" si="1"/>
        <v>d6</v>
      </c>
      <c r="L35" s="17">
        <f t="shared" ca="1" si="2"/>
        <v>25.200000000000003</v>
      </c>
      <c r="M35">
        <f ca="1">_xlfn.RANK.EQ(Table1[[#This Row],[Average]],Table1[Average])</f>
        <v>155</v>
      </c>
      <c r="O35">
        <f ca="1">INDEX(Table1[],MATCH(ROWS(Table1[]) - (ROW()-4),Table1[Rank], 0), 4)</f>
        <v>149</v>
      </c>
      <c r="P35">
        <f ca="1">INDEX(Table1[],MATCH(ROWS(Table1[]) - (ROW()-4),Table1[Rank], 0), 1)</f>
        <v>5</v>
      </c>
      <c r="Q35" t="str">
        <f ca="1">INDEX(Table1[],MATCH(ROWS(Table1[]) - (ROW()-4),Table1[Rank], 0), 2)</f>
        <v>d10</v>
      </c>
      <c r="R35">
        <f ca="1">INDEX(Table1[],MATCH(ROWS(Table1[]) - (ROW()-4),Table1[Rank], 0), 3)</f>
        <v>30.55</v>
      </c>
    </row>
    <row r="36" spans="2:18" x14ac:dyDescent="0.25">
      <c r="J36" s="16">
        <f t="shared" ref="J36:J67" si="10">(ROW(J36)-4 -MOD(ROW(J36)-4,6))/6+1</f>
        <v>6</v>
      </c>
      <c r="K36" s="2" t="str">
        <f t="shared" ref="K36:K67" ca="1" si="11">IF(MOD(ROW(INDIRECT("J"&amp;ROW()))-4,6) = 0, "d4", IF(MOD(ROW(INDIRECT("J"&amp;ROW()))-4,6) = 1, "d6", IF(MOD(ROW(INDIRECT("J"&amp;ROW()))-4,6) = 2, "d8", IF(MOD(ROW(INDIRECT("J"&amp;ROW()))-4,6) = 3, "d10", IF(MOD(ROW(INDIRECT("J"&amp;ROW()))-4,6) = 4, "d12", IF(MOD(ROW(INDIRECT("J"&amp;ROW()))-4,6) = 5, "d20", ))))))</f>
        <v>d8</v>
      </c>
      <c r="L36" s="17">
        <f t="shared" ref="L36:L67" ca="1" si="12">INDEX(diceAverages, INDIRECT("J"&amp;ROW()), IF(INDIRECT("K"&amp;ROW()) = "d4", 1,  IF(INDIRECT("K"&amp;ROW()) = "d6", 2,  IF(INDIRECT("K"&amp;ROW()) = "d8", 3,  IF(INDIRECT("K"&amp;ROW()) = "d10", 4, IF(INDIRECT("K"&amp;ROW()) = "d12", 5, IF(INDIRECT("K"&amp;ROW()) = "d20", 6, "ERROR")))))))</f>
        <v>30.839999999999996</v>
      </c>
      <c r="M36">
        <f ca="1">_xlfn.RANK.EQ(Table1[[#This Row],[Average]],Table1[Average])</f>
        <v>148</v>
      </c>
      <c r="O36">
        <f ca="1">INDEX(Table1[],MATCH(ROWS(Table1[]) - (ROW()-4),Table1[Rank], 0), 4)</f>
        <v>148</v>
      </c>
      <c r="P36">
        <f ca="1">INDEX(Table1[],MATCH(ROWS(Table1[]) - (ROW()-4),Table1[Rank], 0), 1)</f>
        <v>6</v>
      </c>
      <c r="Q36" t="str">
        <f ca="1">INDEX(Table1[],MATCH(ROWS(Table1[]) - (ROW()-4),Table1[Rank], 0), 2)</f>
        <v>d8</v>
      </c>
      <c r="R36">
        <f ca="1">INDEX(Table1[],MATCH(ROWS(Table1[]) - (ROW()-4),Table1[Rank], 0), 3)</f>
        <v>30.839999999999996</v>
      </c>
    </row>
    <row r="37" spans="2:18" x14ac:dyDescent="0.25">
      <c r="J37" s="16">
        <f t="shared" si="10"/>
        <v>6</v>
      </c>
      <c r="K37" s="2" t="str">
        <f t="shared" ca="1" si="11"/>
        <v>d10</v>
      </c>
      <c r="L37" s="17">
        <f t="shared" ca="1" si="12"/>
        <v>36.660000000000004</v>
      </c>
      <c r="M37">
        <f ca="1">_xlfn.RANK.EQ(Table1[[#This Row],[Average]],Table1[Average])</f>
        <v>141</v>
      </c>
      <c r="O37">
        <f ca="1">INDEX(Table1[],MATCH(ROWS(Table1[]) - (ROW()-4),Table1[Rank], 0), 4)</f>
        <v>147</v>
      </c>
      <c r="P37">
        <f ca="1">INDEX(Table1[],MATCH(ROWS(Table1[]) - (ROW()-4),Table1[Rank], 0), 1)</f>
        <v>3</v>
      </c>
      <c r="Q37" t="str">
        <f ca="1">INDEX(Table1[],MATCH(ROWS(Table1[]) - (ROW()-4),Table1[Rank], 0), 2)</f>
        <v>d20</v>
      </c>
      <c r="R37">
        <f ca="1">INDEX(Table1[],MATCH(ROWS(Table1[]) - (ROW()-4),Table1[Rank], 0), 3)</f>
        <v>33.150000000000006</v>
      </c>
    </row>
    <row r="38" spans="2:18" x14ac:dyDescent="0.25">
      <c r="J38" s="16">
        <f t="shared" si="10"/>
        <v>6</v>
      </c>
      <c r="K38" s="2" t="str">
        <f t="shared" ca="1" si="11"/>
        <v>d12</v>
      </c>
      <c r="L38" s="17">
        <f t="shared" ca="1" si="12"/>
        <v>42.54</v>
      </c>
      <c r="M38">
        <f ca="1">_xlfn.RANK.EQ(Table1[[#This Row],[Average]],Table1[Average])</f>
        <v>136</v>
      </c>
      <c r="O38">
        <f ca="1">INDEX(Table1[],MATCH(ROWS(Table1[]) - (ROW()-4),Table1[Rank], 0), 4)</f>
        <v>146</v>
      </c>
      <c r="P38">
        <f ca="1">INDEX(Table1[],MATCH(ROWS(Table1[]) - (ROW()-4),Table1[Rank], 0), 1)</f>
        <v>10</v>
      </c>
      <c r="Q38" t="str">
        <f ca="1">INDEX(Table1[],MATCH(ROWS(Table1[]) - (ROW()-4),Table1[Rank], 0), 2)</f>
        <v>d4</v>
      </c>
      <c r="R38">
        <f ca="1">INDEX(Table1[],MATCH(ROWS(Table1[]) - (ROW()-4),Table1[Rank], 0), 3)</f>
        <v>33.299999999999997</v>
      </c>
    </row>
    <row r="39" spans="2:18" x14ac:dyDescent="0.25">
      <c r="J39" s="16">
        <f t="shared" si="10"/>
        <v>6</v>
      </c>
      <c r="K39" s="2" t="str">
        <f t="shared" ca="1" si="11"/>
        <v>d20</v>
      </c>
      <c r="L39" s="17">
        <f t="shared" ca="1" si="12"/>
        <v>66.300000000000011</v>
      </c>
      <c r="M39">
        <f ca="1">_xlfn.RANK.EQ(Table1[[#This Row],[Average]],Table1[Average])</f>
        <v>110</v>
      </c>
      <c r="O39">
        <f ca="1">INDEX(Table1[],MATCH(ROWS(Table1[]) - (ROW()-4),Table1[Rank], 0), 4)</f>
        <v>145</v>
      </c>
      <c r="P39">
        <f ca="1">INDEX(Table1[],MATCH(ROWS(Table1[]) - (ROW()-4),Table1[Rank], 0), 1)</f>
        <v>8</v>
      </c>
      <c r="Q39" t="str">
        <f ca="1">INDEX(Table1[],MATCH(ROWS(Table1[]) - (ROW()-4),Table1[Rank], 0), 2)</f>
        <v>d6</v>
      </c>
      <c r="R39">
        <f ca="1">INDEX(Table1[],MATCH(ROWS(Table1[]) - (ROW()-4),Table1[Rank], 0), 3)</f>
        <v>33.6</v>
      </c>
    </row>
    <row r="40" spans="2:18" x14ac:dyDescent="0.25">
      <c r="J40" s="16">
        <f t="shared" si="10"/>
        <v>7</v>
      </c>
      <c r="K40" s="2" t="str">
        <f t="shared" ca="1" si="11"/>
        <v>d4</v>
      </c>
      <c r="L40" s="17">
        <f t="shared" ca="1" si="12"/>
        <v>23.310000000000002</v>
      </c>
      <c r="M40">
        <f ca="1">_xlfn.RANK.EQ(Table1[[#This Row],[Average]],Table1[Average])</f>
        <v>157</v>
      </c>
      <c r="O40">
        <f ca="1">INDEX(Table1[],MATCH(ROWS(Table1[]) - (ROW()-4),Table1[Rank], 0), 4)</f>
        <v>144</v>
      </c>
      <c r="P40">
        <f ca="1">INDEX(Table1[],MATCH(ROWS(Table1[]) - (ROW()-4),Table1[Rank], 0), 1)</f>
        <v>5</v>
      </c>
      <c r="Q40" t="str">
        <f ca="1">INDEX(Table1[],MATCH(ROWS(Table1[]) - (ROW()-4),Table1[Rank], 0), 2)</f>
        <v>d12</v>
      </c>
      <c r="R40">
        <f ca="1">INDEX(Table1[],MATCH(ROWS(Table1[]) - (ROW()-4),Table1[Rank], 0), 3)</f>
        <v>35.450000000000003</v>
      </c>
    </row>
    <row r="41" spans="2:18" x14ac:dyDescent="0.25">
      <c r="J41" s="1">
        <f t="shared" si="10"/>
        <v>7</v>
      </c>
      <c r="K41" s="2" t="str">
        <f t="shared" ca="1" si="11"/>
        <v>d6</v>
      </c>
      <c r="L41">
        <f t="shared" ca="1" si="12"/>
        <v>29.400000000000002</v>
      </c>
      <c r="M41">
        <f ca="1">_xlfn.RANK.EQ(Table1[[#This Row],[Average]],Table1[Average])</f>
        <v>151</v>
      </c>
      <c r="O41">
        <f ca="1">INDEX(Table1[],MATCH(ROWS(Table1[]) - (ROW()-4),Table1[Rank], 0), 4)</f>
        <v>143</v>
      </c>
      <c r="P41">
        <f ca="1">INDEX(Table1[],MATCH(ROWS(Table1[]) - (ROW()-4),Table1[Rank], 0), 1)</f>
        <v>7</v>
      </c>
      <c r="Q41" t="str">
        <f ca="1">INDEX(Table1[],MATCH(ROWS(Table1[]) - (ROW()-4),Table1[Rank], 0), 2)</f>
        <v>d8</v>
      </c>
      <c r="R41">
        <f ca="1">INDEX(Table1[],MATCH(ROWS(Table1[]) - (ROW()-4),Table1[Rank], 0), 3)</f>
        <v>35.979999999999997</v>
      </c>
    </row>
    <row r="42" spans="2:18" x14ac:dyDescent="0.25">
      <c r="J42" s="16">
        <f t="shared" si="10"/>
        <v>7</v>
      </c>
      <c r="K42" s="2" t="str">
        <f t="shared" ca="1" si="11"/>
        <v>d8</v>
      </c>
      <c r="L42" s="17">
        <f t="shared" ca="1" si="12"/>
        <v>35.979999999999997</v>
      </c>
      <c r="M42">
        <f ca="1">_xlfn.RANK.EQ(Table1[[#This Row],[Average]],Table1[Average])</f>
        <v>143</v>
      </c>
      <c r="O42">
        <f ca="1">INDEX(Table1[],MATCH(ROWS(Table1[]) - (ROW()-4),Table1[Rank], 0), 4)</f>
        <v>142</v>
      </c>
      <c r="P42">
        <f ca="1">INDEX(Table1[],MATCH(ROWS(Table1[]) - (ROW()-4),Table1[Rank], 0), 1)</f>
        <v>11</v>
      </c>
      <c r="Q42" t="str">
        <f ca="1">INDEX(Table1[],MATCH(ROWS(Table1[]) - (ROW()-4),Table1[Rank], 0), 2)</f>
        <v>d4</v>
      </c>
      <c r="R42">
        <f ca="1">INDEX(Table1[],MATCH(ROWS(Table1[]) - (ROW()-4),Table1[Rank], 0), 3)</f>
        <v>36.630000000000003</v>
      </c>
    </row>
    <row r="43" spans="2:18" x14ac:dyDescent="0.25">
      <c r="J43" s="16">
        <f t="shared" si="10"/>
        <v>7</v>
      </c>
      <c r="K43" s="2" t="str">
        <f t="shared" ca="1" si="11"/>
        <v>d10</v>
      </c>
      <c r="L43" s="17">
        <f t="shared" ca="1" si="12"/>
        <v>42.77</v>
      </c>
      <c r="M43">
        <f ca="1">_xlfn.RANK.EQ(Table1[[#This Row],[Average]],Table1[Average])</f>
        <v>135</v>
      </c>
      <c r="O43">
        <f ca="1">INDEX(Table1[],MATCH(ROWS(Table1[]) - (ROW()-4),Table1[Rank], 0), 4)</f>
        <v>141</v>
      </c>
      <c r="P43">
        <f ca="1">INDEX(Table1[],MATCH(ROWS(Table1[]) - (ROW()-4),Table1[Rank], 0), 1)</f>
        <v>6</v>
      </c>
      <c r="Q43" t="str">
        <f ca="1">INDEX(Table1[],MATCH(ROWS(Table1[]) - (ROW()-4),Table1[Rank], 0), 2)</f>
        <v>d10</v>
      </c>
      <c r="R43">
        <f ca="1">INDEX(Table1[],MATCH(ROWS(Table1[]) - (ROW()-4),Table1[Rank], 0), 3)</f>
        <v>36.660000000000004</v>
      </c>
    </row>
    <row r="44" spans="2:18" x14ac:dyDescent="0.25">
      <c r="J44" s="16">
        <f t="shared" si="10"/>
        <v>7</v>
      </c>
      <c r="K44" s="2" t="str">
        <f t="shared" ca="1" si="11"/>
        <v>d12</v>
      </c>
      <c r="L44" s="17">
        <f t="shared" ca="1" si="12"/>
        <v>49.629999999999995</v>
      </c>
      <c r="M44">
        <f ca="1">_xlfn.RANK.EQ(Table1[[#This Row],[Average]],Table1[Average])</f>
        <v>128</v>
      </c>
      <c r="O44">
        <f ca="1">INDEX(Table1[],MATCH(ROWS(Table1[]) - (ROW()-4),Table1[Rank], 0), 4)</f>
        <v>140</v>
      </c>
      <c r="P44">
        <f ca="1">INDEX(Table1[],MATCH(ROWS(Table1[]) - (ROW()-4),Table1[Rank], 0), 1)</f>
        <v>9</v>
      </c>
      <c r="Q44" t="str">
        <f ca="1">INDEX(Table1[],MATCH(ROWS(Table1[]) - (ROW()-4),Table1[Rank], 0), 2)</f>
        <v>d6</v>
      </c>
      <c r="R44">
        <f ca="1">INDEX(Table1[],MATCH(ROWS(Table1[]) - (ROW()-4),Table1[Rank], 0), 3)</f>
        <v>37.800000000000004</v>
      </c>
    </row>
    <row r="45" spans="2:18" x14ac:dyDescent="0.25">
      <c r="J45" s="16">
        <f t="shared" si="10"/>
        <v>7</v>
      </c>
      <c r="K45" s="2" t="str">
        <f t="shared" ca="1" si="11"/>
        <v>d20</v>
      </c>
      <c r="L45" s="17">
        <f t="shared" ca="1" si="12"/>
        <v>77.350000000000009</v>
      </c>
      <c r="M45">
        <f ca="1">_xlfn.RANK.EQ(Table1[[#This Row],[Average]],Table1[Average])</f>
        <v>96</v>
      </c>
      <c r="O45">
        <f ca="1">INDEX(Table1[],MATCH(ROWS(Table1[]) - (ROW()-4),Table1[Rank], 0), 4)</f>
        <v>139</v>
      </c>
      <c r="P45">
        <f ca="1">INDEX(Table1[],MATCH(ROWS(Table1[]) - (ROW()-4),Table1[Rank], 0), 1)</f>
        <v>12</v>
      </c>
      <c r="Q45" t="str">
        <f ca="1">INDEX(Table1[],MATCH(ROWS(Table1[]) - (ROW()-4),Table1[Rank], 0), 2)</f>
        <v>d4</v>
      </c>
      <c r="R45">
        <f ca="1">INDEX(Table1[],MATCH(ROWS(Table1[]) - (ROW()-4),Table1[Rank], 0), 3)</f>
        <v>39.96</v>
      </c>
    </row>
    <row r="46" spans="2:18" x14ac:dyDescent="0.25">
      <c r="J46" s="16">
        <f t="shared" si="10"/>
        <v>8</v>
      </c>
      <c r="K46" s="2" t="str">
        <f t="shared" ca="1" si="11"/>
        <v>d4</v>
      </c>
      <c r="L46" s="17">
        <f t="shared" ca="1" si="12"/>
        <v>26.64</v>
      </c>
      <c r="M46">
        <f ca="1">_xlfn.RANK.EQ(Table1[[#This Row],[Average]],Table1[Average])</f>
        <v>153</v>
      </c>
      <c r="O46">
        <f ca="1">INDEX(Table1[],MATCH(ROWS(Table1[]) - (ROW()-4),Table1[Rank], 0), 4)</f>
        <v>138</v>
      </c>
      <c r="P46">
        <f ca="1">INDEX(Table1[],MATCH(ROWS(Table1[]) - (ROW()-4),Table1[Rank], 0), 1)</f>
        <v>8</v>
      </c>
      <c r="Q46" t="str">
        <f ca="1">INDEX(Table1[],MATCH(ROWS(Table1[]) - (ROW()-4),Table1[Rank], 0), 2)</f>
        <v>d8</v>
      </c>
      <c r="R46">
        <f ca="1">INDEX(Table1[],MATCH(ROWS(Table1[]) - (ROW()-4),Table1[Rank], 0), 3)</f>
        <v>41.12</v>
      </c>
    </row>
    <row r="47" spans="2:18" x14ac:dyDescent="0.25">
      <c r="J47" s="16">
        <f t="shared" si="10"/>
        <v>8</v>
      </c>
      <c r="K47" s="2" t="str">
        <f t="shared" ca="1" si="11"/>
        <v>d6</v>
      </c>
      <c r="L47" s="17">
        <f t="shared" ca="1" si="12"/>
        <v>33.6</v>
      </c>
      <c r="M47">
        <f ca="1">_xlfn.RANK.EQ(Table1[[#This Row],[Average]],Table1[Average])</f>
        <v>145</v>
      </c>
      <c r="O47">
        <f ca="1">INDEX(Table1[],MATCH(ROWS(Table1[]) - (ROW()-4),Table1[Rank], 0), 4)</f>
        <v>137</v>
      </c>
      <c r="P47">
        <f ca="1">INDEX(Table1[],MATCH(ROWS(Table1[]) - (ROW()-4),Table1[Rank], 0), 1)</f>
        <v>10</v>
      </c>
      <c r="Q47" t="str">
        <f ca="1">INDEX(Table1[],MATCH(ROWS(Table1[]) - (ROW()-4),Table1[Rank], 0), 2)</f>
        <v>d6</v>
      </c>
      <c r="R47">
        <f ca="1">INDEX(Table1[],MATCH(ROWS(Table1[]) - (ROW()-4),Table1[Rank], 0), 3)</f>
        <v>42</v>
      </c>
    </row>
    <row r="48" spans="2:18" x14ac:dyDescent="0.25">
      <c r="J48" s="16">
        <f t="shared" si="10"/>
        <v>8</v>
      </c>
      <c r="K48" s="2" t="str">
        <f t="shared" ca="1" si="11"/>
        <v>d8</v>
      </c>
      <c r="L48" s="17">
        <f t="shared" ca="1" si="12"/>
        <v>41.12</v>
      </c>
      <c r="M48">
        <f ca="1">_xlfn.RANK.EQ(Table1[[#This Row],[Average]],Table1[Average])</f>
        <v>138</v>
      </c>
      <c r="O48">
        <f ca="1">INDEX(Table1[],MATCH(ROWS(Table1[]) - (ROW()-4),Table1[Rank], 0), 4)</f>
        <v>136</v>
      </c>
      <c r="P48">
        <f ca="1">INDEX(Table1[],MATCH(ROWS(Table1[]) - (ROW()-4),Table1[Rank], 0), 1)</f>
        <v>6</v>
      </c>
      <c r="Q48" t="str">
        <f ca="1">INDEX(Table1[],MATCH(ROWS(Table1[]) - (ROW()-4),Table1[Rank], 0), 2)</f>
        <v>d12</v>
      </c>
      <c r="R48">
        <f ca="1">INDEX(Table1[],MATCH(ROWS(Table1[]) - (ROW()-4),Table1[Rank], 0), 3)</f>
        <v>42.54</v>
      </c>
    </row>
    <row r="49" spans="10:18" x14ac:dyDescent="0.25">
      <c r="J49" s="16">
        <f t="shared" si="10"/>
        <v>8</v>
      </c>
      <c r="K49" s="2" t="str">
        <f t="shared" ca="1" si="11"/>
        <v>d10</v>
      </c>
      <c r="L49" s="17">
        <f t="shared" ca="1" si="12"/>
        <v>48.88</v>
      </c>
      <c r="M49">
        <f ca="1">_xlfn.RANK.EQ(Table1[[#This Row],[Average]],Table1[Average])</f>
        <v>129</v>
      </c>
      <c r="O49">
        <f ca="1">INDEX(Table1[],MATCH(ROWS(Table1[]) - (ROW()-4),Table1[Rank], 0), 4)</f>
        <v>135</v>
      </c>
      <c r="P49">
        <f ca="1">INDEX(Table1[],MATCH(ROWS(Table1[]) - (ROW()-4),Table1[Rank], 0), 1)</f>
        <v>7</v>
      </c>
      <c r="Q49" t="str">
        <f ca="1">INDEX(Table1[],MATCH(ROWS(Table1[]) - (ROW()-4),Table1[Rank], 0), 2)</f>
        <v>d10</v>
      </c>
      <c r="R49">
        <f ca="1">INDEX(Table1[],MATCH(ROWS(Table1[]) - (ROW()-4),Table1[Rank], 0), 3)</f>
        <v>42.77</v>
      </c>
    </row>
    <row r="50" spans="10:18" x14ac:dyDescent="0.25">
      <c r="J50" s="16">
        <f t="shared" si="10"/>
        <v>8</v>
      </c>
      <c r="K50" s="2" t="str">
        <f t="shared" ca="1" si="11"/>
        <v>d12</v>
      </c>
      <c r="L50" s="17">
        <f t="shared" ca="1" si="12"/>
        <v>56.72</v>
      </c>
      <c r="M50">
        <f ca="1">_xlfn.RANK.EQ(Table1[[#This Row],[Average]],Table1[Average])</f>
        <v>118</v>
      </c>
      <c r="O50">
        <f ca="1">INDEX(Table1[],MATCH(ROWS(Table1[]) - (ROW()-4),Table1[Rank], 0), 4)</f>
        <v>134</v>
      </c>
      <c r="P50">
        <f ca="1">INDEX(Table1[],MATCH(ROWS(Table1[]) - (ROW()-4),Table1[Rank], 0), 1)</f>
        <v>13</v>
      </c>
      <c r="Q50" t="str">
        <f ca="1">INDEX(Table1[],MATCH(ROWS(Table1[]) - (ROW()-4),Table1[Rank], 0), 2)</f>
        <v>d4</v>
      </c>
      <c r="R50">
        <f ca="1">INDEX(Table1[],MATCH(ROWS(Table1[]) - (ROW()-4),Table1[Rank], 0), 3)</f>
        <v>43.29</v>
      </c>
    </row>
    <row r="51" spans="10:18" x14ac:dyDescent="0.25">
      <c r="J51" s="1">
        <f t="shared" si="10"/>
        <v>8</v>
      </c>
      <c r="K51" s="2" t="str">
        <f t="shared" ca="1" si="11"/>
        <v>d20</v>
      </c>
      <c r="L51">
        <f t="shared" ca="1" si="12"/>
        <v>88.4</v>
      </c>
      <c r="M51">
        <f ca="1">_xlfn.RANK.EQ(Table1[[#This Row],[Average]],Table1[Average])</f>
        <v>83</v>
      </c>
      <c r="O51">
        <f ca="1">INDEX(Table1[],MATCH(ROWS(Table1[]) - (ROW()-4),Table1[Rank], 0), 4)</f>
        <v>133</v>
      </c>
      <c r="P51">
        <f ca="1">INDEX(Table1[],MATCH(ROWS(Table1[]) - (ROW()-4),Table1[Rank], 0), 1)</f>
        <v>4</v>
      </c>
      <c r="Q51" t="str">
        <f ca="1">INDEX(Table1[],MATCH(ROWS(Table1[]) - (ROW()-4),Table1[Rank], 0), 2)</f>
        <v>d20</v>
      </c>
      <c r="R51">
        <f ca="1">INDEX(Table1[],MATCH(ROWS(Table1[]) - (ROW()-4),Table1[Rank], 0), 3)</f>
        <v>44.2</v>
      </c>
    </row>
    <row r="52" spans="10:18" x14ac:dyDescent="0.25">
      <c r="J52" s="16">
        <f t="shared" si="10"/>
        <v>9</v>
      </c>
      <c r="K52" s="2" t="str">
        <f t="shared" ca="1" si="11"/>
        <v>d4</v>
      </c>
      <c r="L52" s="17">
        <f t="shared" ca="1" si="12"/>
        <v>29.97</v>
      </c>
      <c r="M52">
        <f ca="1">_xlfn.RANK.EQ(Table1[[#This Row],[Average]],Table1[Average])</f>
        <v>150</v>
      </c>
      <c r="O52">
        <f ca="1">INDEX(Table1[],MATCH(ROWS(Table1[]) - (ROW()-4),Table1[Rank], 0), 4)</f>
        <v>132</v>
      </c>
      <c r="P52">
        <f ca="1">INDEX(Table1[],MATCH(ROWS(Table1[]) - (ROW()-4),Table1[Rank], 0), 1)</f>
        <v>11</v>
      </c>
      <c r="Q52" t="str">
        <f ca="1">INDEX(Table1[],MATCH(ROWS(Table1[]) - (ROW()-4),Table1[Rank], 0), 2)</f>
        <v>d6</v>
      </c>
      <c r="R52">
        <f ca="1">INDEX(Table1[],MATCH(ROWS(Table1[]) - (ROW()-4),Table1[Rank], 0), 3)</f>
        <v>46.2</v>
      </c>
    </row>
    <row r="53" spans="10:18" x14ac:dyDescent="0.25">
      <c r="J53" s="16">
        <f t="shared" si="10"/>
        <v>9</v>
      </c>
      <c r="K53" s="2" t="str">
        <f t="shared" ca="1" si="11"/>
        <v>d6</v>
      </c>
      <c r="L53" s="17">
        <f t="shared" ca="1" si="12"/>
        <v>37.800000000000004</v>
      </c>
      <c r="M53">
        <f ca="1">_xlfn.RANK.EQ(Table1[[#This Row],[Average]],Table1[Average])</f>
        <v>140</v>
      </c>
      <c r="O53">
        <f ca="1">INDEX(Table1[],MATCH(ROWS(Table1[]) - (ROW()-4),Table1[Rank], 0), 4)</f>
        <v>131</v>
      </c>
      <c r="P53">
        <f ca="1">INDEX(Table1[],MATCH(ROWS(Table1[]) - (ROW()-4),Table1[Rank], 0), 1)</f>
        <v>9</v>
      </c>
      <c r="Q53" t="str">
        <f ca="1">INDEX(Table1[],MATCH(ROWS(Table1[]) - (ROW()-4),Table1[Rank], 0), 2)</f>
        <v>d8</v>
      </c>
      <c r="R53">
        <f ca="1">INDEX(Table1[],MATCH(ROWS(Table1[]) - (ROW()-4),Table1[Rank], 0), 3)</f>
        <v>46.26</v>
      </c>
    </row>
    <row r="54" spans="10:18" x14ac:dyDescent="0.25">
      <c r="J54" s="16">
        <f t="shared" si="10"/>
        <v>9</v>
      </c>
      <c r="K54" s="2" t="str">
        <f t="shared" ca="1" si="11"/>
        <v>d8</v>
      </c>
      <c r="L54" s="17">
        <f t="shared" ca="1" si="12"/>
        <v>46.26</v>
      </c>
      <c r="M54">
        <f ca="1">_xlfn.RANK.EQ(Table1[[#This Row],[Average]],Table1[Average])</f>
        <v>131</v>
      </c>
      <c r="O54">
        <f ca="1">INDEX(Table1[],MATCH(ROWS(Table1[]) - (ROW()-4),Table1[Rank], 0), 4)</f>
        <v>130</v>
      </c>
      <c r="P54">
        <f ca="1">INDEX(Table1[],MATCH(ROWS(Table1[]) - (ROW()-4),Table1[Rank], 0), 1)</f>
        <v>14</v>
      </c>
      <c r="Q54" t="str">
        <f ca="1">INDEX(Table1[],MATCH(ROWS(Table1[]) - (ROW()-4),Table1[Rank], 0), 2)</f>
        <v>d4</v>
      </c>
      <c r="R54">
        <f ca="1">INDEX(Table1[],MATCH(ROWS(Table1[]) - (ROW()-4),Table1[Rank], 0), 3)</f>
        <v>46.620000000000005</v>
      </c>
    </row>
    <row r="55" spans="10:18" x14ac:dyDescent="0.25">
      <c r="J55" s="1">
        <f t="shared" si="10"/>
        <v>9</v>
      </c>
      <c r="K55" s="2" t="str">
        <f t="shared" ca="1" si="11"/>
        <v>d10</v>
      </c>
      <c r="L55">
        <f t="shared" ca="1" si="12"/>
        <v>54.99</v>
      </c>
      <c r="M55">
        <f ca="1">_xlfn.RANK.EQ(Table1[[#This Row],[Average]],Table1[Average])</f>
        <v>122</v>
      </c>
      <c r="O55">
        <f ca="1">INDEX(Table1[],MATCH(ROWS(Table1[]) - (ROW()-4),Table1[Rank], 0), 4)</f>
        <v>129</v>
      </c>
      <c r="P55">
        <f ca="1">INDEX(Table1[],MATCH(ROWS(Table1[]) - (ROW()-4),Table1[Rank], 0), 1)</f>
        <v>8</v>
      </c>
      <c r="Q55" t="str">
        <f ca="1">INDEX(Table1[],MATCH(ROWS(Table1[]) - (ROW()-4),Table1[Rank], 0), 2)</f>
        <v>d10</v>
      </c>
      <c r="R55">
        <f ca="1">INDEX(Table1[],MATCH(ROWS(Table1[]) - (ROW()-4),Table1[Rank], 0), 3)</f>
        <v>48.88</v>
      </c>
    </row>
    <row r="56" spans="10:18" x14ac:dyDescent="0.25">
      <c r="J56" s="16">
        <f t="shared" si="10"/>
        <v>9</v>
      </c>
      <c r="K56" s="2" t="str">
        <f t="shared" ca="1" si="11"/>
        <v>d12</v>
      </c>
      <c r="L56" s="17">
        <f t="shared" ca="1" si="12"/>
        <v>63.81</v>
      </c>
      <c r="M56">
        <f ca="1">_xlfn.RANK.EQ(Table1[[#This Row],[Average]],Table1[Average])</f>
        <v>111</v>
      </c>
      <c r="O56">
        <f ca="1">INDEX(Table1[],MATCH(ROWS(Table1[]) - (ROW()-4),Table1[Rank], 0), 4)</f>
        <v>128</v>
      </c>
      <c r="P56">
        <f ca="1">INDEX(Table1[],MATCH(ROWS(Table1[]) - (ROW()-4),Table1[Rank], 0), 1)</f>
        <v>7</v>
      </c>
      <c r="Q56" t="str">
        <f ca="1">INDEX(Table1[],MATCH(ROWS(Table1[]) - (ROW()-4),Table1[Rank], 0), 2)</f>
        <v>d12</v>
      </c>
      <c r="R56">
        <f ca="1">INDEX(Table1[],MATCH(ROWS(Table1[]) - (ROW()-4),Table1[Rank], 0), 3)</f>
        <v>49.629999999999995</v>
      </c>
    </row>
    <row r="57" spans="10:18" x14ac:dyDescent="0.25">
      <c r="J57" s="1">
        <f t="shared" si="10"/>
        <v>9</v>
      </c>
      <c r="K57" s="2" t="str">
        <f t="shared" ca="1" si="11"/>
        <v>d20</v>
      </c>
      <c r="L57">
        <f t="shared" ca="1" si="12"/>
        <v>99.45</v>
      </c>
      <c r="M57">
        <f ca="1">_xlfn.RANK.EQ(Table1[[#This Row],[Average]],Table1[Average])</f>
        <v>71</v>
      </c>
      <c r="O57">
        <f ca="1">INDEX(Table1[],MATCH(ROWS(Table1[]) - (ROW()-4),Table1[Rank], 0), 4)</f>
        <v>127</v>
      </c>
      <c r="P57">
        <f ca="1">INDEX(Table1[],MATCH(ROWS(Table1[]) - (ROW()-4),Table1[Rank], 0), 1)</f>
        <v>15</v>
      </c>
      <c r="Q57" t="str">
        <f ca="1">INDEX(Table1[],MATCH(ROWS(Table1[]) - (ROW()-4),Table1[Rank], 0), 2)</f>
        <v>d4</v>
      </c>
      <c r="R57">
        <f ca="1">INDEX(Table1[],MATCH(ROWS(Table1[]) - (ROW()-4),Table1[Rank], 0), 3)</f>
        <v>49.95</v>
      </c>
    </row>
    <row r="58" spans="10:18" x14ac:dyDescent="0.25">
      <c r="J58" s="16">
        <f t="shared" si="10"/>
        <v>10</v>
      </c>
      <c r="K58" s="2" t="str">
        <f t="shared" ca="1" si="11"/>
        <v>d4</v>
      </c>
      <c r="L58" s="17">
        <f t="shared" ca="1" si="12"/>
        <v>33.299999999999997</v>
      </c>
      <c r="M58">
        <f ca="1">_xlfn.RANK.EQ(Table1[[#This Row],[Average]],Table1[Average])</f>
        <v>146</v>
      </c>
      <c r="O58">
        <f ca="1">INDEX(Table1[],MATCH(ROWS(Table1[]) - (ROW()-4),Table1[Rank], 0), 4)</f>
        <v>126</v>
      </c>
      <c r="P58">
        <f ca="1">INDEX(Table1[],MATCH(ROWS(Table1[]) - (ROW()-4),Table1[Rank], 0), 1)</f>
        <v>12</v>
      </c>
      <c r="Q58" t="str">
        <f ca="1">INDEX(Table1[],MATCH(ROWS(Table1[]) - (ROW()-4),Table1[Rank], 0), 2)</f>
        <v>d6</v>
      </c>
      <c r="R58">
        <f ca="1">INDEX(Table1[],MATCH(ROWS(Table1[]) - (ROW()-4),Table1[Rank], 0), 3)</f>
        <v>50.400000000000006</v>
      </c>
    </row>
    <row r="59" spans="10:18" x14ac:dyDescent="0.25">
      <c r="J59" s="16">
        <f t="shared" si="10"/>
        <v>10</v>
      </c>
      <c r="K59" s="2" t="str">
        <f t="shared" ca="1" si="11"/>
        <v>d6</v>
      </c>
      <c r="L59" s="17">
        <f t="shared" ca="1" si="12"/>
        <v>42</v>
      </c>
      <c r="M59">
        <f ca="1">_xlfn.RANK.EQ(Table1[[#This Row],[Average]],Table1[Average])</f>
        <v>137</v>
      </c>
      <c r="O59">
        <f ca="1">INDEX(Table1[],MATCH(ROWS(Table1[]) - (ROW()-4),Table1[Rank], 0), 4)</f>
        <v>125</v>
      </c>
      <c r="P59">
        <f ca="1">INDEX(Table1[],MATCH(ROWS(Table1[]) - (ROW()-4),Table1[Rank], 0), 1)</f>
        <v>10</v>
      </c>
      <c r="Q59" t="str">
        <f ca="1">INDEX(Table1[],MATCH(ROWS(Table1[]) - (ROW()-4),Table1[Rank], 0), 2)</f>
        <v>d8</v>
      </c>
      <c r="R59">
        <f ca="1">INDEX(Table1[],MATCH(ROWS(Table1[]) - (ROW()-4),Table1[Rank], 0), 3)</f>
        <v>51.4</v>
      </c>
    </row>
    <row r="60" spans="10:18" x14ac:dyDescent="0.25">
      <c r="J60" s="16">
        <f t="shared" si="10"/>
        <v>10</v>
      </c>
      <c r="K60" s="2" t="str">
        <f t="shared" ca="1" si="11"/>
        <v>d8</v>
      </c>
      <c r="L60" s="17">
        <f t="shared" ca="1" si="12"/>
        <v>51.4</v>
      </c>
      <c r="M60">
        <f ca="1">_xlfn.RANK.EQ(Table1[[#This Row],[Average]],Table1[Average])</f>
        <v>125</v>
      </c>
      <c r="O60">
        <f ca="1">INDEX(Table1[],MATCH(ROWS(Table1[]) - (ROW()-4),Table1[Rank], 0), 4)</f>
        <v>124</v>
      </c>
      <c r="P60">
        <f ca="1">INDEX(Table1[],MATCH(ROWS(Table1[]) - (ROW()-4),Table1[Rank], 0), 1)</f>
        <v>16</v>
      </c>
      <c r="Q60" t="str">
        <f ca="1">INDEX(Table1[],MATCH(ROWS(Table1[]) - (ROW()-4),Table1[Rank], 0), 2)</f>
        <v>d4</v>
      </c>
      <c r="R60">
        <f ca="1">INDEX(Table1[],MATCH(ROWS(Table1[]) - (ROW()-4),Table1[Rank], 0), 3)</f>
        <v>53.28</v>
      </c>
    </row>
    <row r="61" spans="10:18" x14ac:dyDescent="0.25">
      <c r="J61" s="16">
        <f t="shared" si="10"/>
        <v>10</v>
      </c>
      <c r="K61" s="2" t="str">
        <f t="shared" ca="1" si="11"/>
        <v>d10</v>
      </c>
      <c r="L61" s="17">
        <f t="shared" ca="1" si="12"/>
        <v>61.1</v>
      </c>
      <c r="M61">
        <f ca="1">_xlfn.RANK.EQ(Table1[[#This Row],[Average]],Table1[Average])</f>
        <v>115</v>
      </c>
      <c r="O61">
        <f ca="1">INDEX(Table1[],MATCH(ROWS(Table1[]) - (ROW()-4),Table1[Rank], 0), 4)</f>
        <v>123</v>
      </c>
      <c r="P61">
        <f ca="1">INDEX(Table1[],MATCH(ROWS(Table1[]) - (ROW()-4),Table1[Rank], 0), 1)</f>
        <v>13</v>
      </c>
      <c r="Q61" t="str">
        <f ca="1">INDEX(Table1[],MATCH(ROWS(Table1[]) - (ROW()-4),Table1[Rank], 0), 2)</f>
        <v>d6</v>
      </c>
      <c r="R61">
        <f ca="1">INDEX(Table1[],MATCH(ROWS(Table1[]) - (ROW()-4),Table1[Rank], 0), 3)</f>
        <v>54.6</v>
      </c>
    </row>
    <row r="62" spans="10:18" x14ac:dyDescent="0.25">
      <c r="J62" s="16">
        <f t="shared" si="10"/>
        <v>10</v>
      </c>
      <c r="K62" s="2" t="str">
        <f t="shared" ca="1" si="11"/>
        <v>d12</v>
      </c>
      <c r="L62" s="17">
        <f t="shared" ca="1" si="12"/>
        <v>70.900000000000006</v>
      </c>
      <c r="M62">
        <f ca="1">_xlfn.RANK.EQ(Table1[[#This Row],[Average]],Table1[Average])</f>
        <v>104</v>
      </c>
      <c r="O62">
        <f ca="1">INDEX(Table1[],MATCH(ROWS(Table1[]) - (ROW()-4),Table1[Rank], 0), 4)</f>
        <v>122</v>
      </c>
      <c r="P62">
        <f ca="1">INDEX(Table1[],MATCH(ROWS(Table1[]) - (ROW()-4),Table1[Rank], 0), 1)</f>
        <v>9</v>
      </c>
      <c r="Q62" t="str">
        <f ca="1">INDEX(Table1[],MATCH(ROWS(Table1[]) - (ROW()-4),Table1[Rank], 0), 2)</f>
        <v>d10</v>
      </c>
      <c r="R62">
        <f ca="1">INDEX(Table1[],MATCH(ROWS(Table1[]) - (ROW()-4),Table1[Rank], 0), 3)</f>
        <v>54.99</v>
      </c>
    </row>
    <row r="63" spans="10:18" x14ac:dyDescent="0.25">
      <c r="J63" s="1">
        <f t="shared" si="10"/>
        <v>10</v>
      </c>
      <c r="K63" s="2" t="str">
        <f t="shared" ca="1" si="11"/>
        <v>d20</v>
      </c>
      <c r="L63">
        <f t="shared" ca="1" si="12"/>
        <v>110.5</v>
      </c>
      <c r="M63">
        <f ca="1">_xlfn.RANK.EQ(Table1[[#This Row],[Average]],Table1[Average])</f>
        <v>61</v>
      </c>
      <c r="O63">
        <f ca="1">INDEX(Table1[],MATCH(ROWS(Table1[]) - (ROW()-4),Table1[Rank], 0), 4)</f>
        <v>121</v>
      </c>
      <c r="P63">
        <f ca="1">INDEX(Table1[],MATCH(ROWS(Table1[]) - (ROW()-4),Table1[Rank], 0), 1)</f>
        <v>5</v>
      </c>
      <c r="Q63" t="str">
        <f ca="1">INDEX(Table1[],MATCH(ROWS(Table1[]) - (ROW()-4),Table1[Rank], 0), 2)</f>
        <v>d20</v>
      </c>
      <c r="R63">
        <f ca="1">INDEX(Table1[],MATCH(ROWS(Table1[]) - (ROW()-4),Table1[Rank], 0), 3)</f>
        <v>55.25</v>
      </c>
    </row>
    <row r="64" spans="10:18" x14ac:dyDescent="0.25">
      <c r="J64" s="1">
        <f t="shared" si="10"/>
        <v>11</v>
      </c>
      <c r="K64" s="2" t="str">
        <f t="shared" ca="1" si="11"/>
        <v>d4</v>
      </c>
      <c r="L64">
        <f t="shared" ca="1" si="12"/>
        <v>36.630000000000003</v>
      </c>
      <c r="M64">
        <f ca="1">_xlfn.RANK.EQ(Table1[[#This Row],[Average]],Table1[Average])</f>
        <v>142</v>
      </c>
      <c r="O64">
        <f ca="1">INDEX(Table1[],MATCH(ROWS(Table1[]) - (ROW()-4),Table1[Rank], 0), 4)</f>
        <v>120</v>
      </c>
      <c r="P64">
        <f ca="1">INDEX(Table1[],MATCH(ROWS(Table1[]) - (ROW()-4),Table1[Rank], 0), 1)</f>
        <v>11</v>
      </c>
      <c r="Q64" t="str">
        <f ca="1">INDEX(Table1[],MATCH(ROWS(Table1[]) - (ROW()-4),Table1[Rank], 0), 2)</f>
        <v>d8</v>
      </c>
      <c r="R64">
        <f ca="1">INDEX(Table1[],MATCH(ROWS(Table1[]) - (ROW()-4),Table1[Rank], 0), 3)</f>
        <v>56.54</v>
      </c>
    </row>
    <row r="65" spans="10:18" x14ac:dyDescent="0.25">
      <c r="J65" s="16">
        <f t="shared" si="10"/>
        <v>11</v>
      </c>
      <c r="K65" s="2" t="str">
        <f t="shared" ca="1" si="11"/>
        <v>d6</v>
      </c>
      <c r="L65" s="17">
        <f t="shared" ca="1" si="12"/>
        <v>46.2</v>
      </c>
      <c r="M65">
        <f ca="1">_xlfn.RANK.EQ(Table1[[#This Row],[Average]],Table1[Average])</f>
        <v>132</v>
      </c>
      <c r="O65">
        <f ca="1">INDEX(Table1[],MATCH(ROWS(Table1[]) - (ROW()-4),Table1[Rank], 0), 4)</f>
        <v>119</v>
      </c>
      <c r="P65">
        <f ca="1">INDEX(Table1[],MATCH(ROWS(Table1[]) - (ROW()-4),Table1[Rank], 0), 1)</f>
        <v>17</v>
      </c>
      <c r="Q65" t="str">
        <f ca="1">INDEX(Table1[],MATCH(ROWS(Table1[]) - (ROW()-4),Table1[Rank], 0), 2)</f>
        <v>d4</v>
      </c>
      <c r="R65">
        <f ca="1">INDEX(Table1[],MATCH(ROWS(Table1[]) - (ROW()-4),Table1[Rank], 0), 3)</f>
        <v>56.61</v>
      </c>
    </row>
    <row r="66" spans="10:18" x14ac:dyDescent="0.25">
      <c r="J66" s="16">
        <f t="shared" si="10"/>
        <v>11</v>
      </c>
      <c r="K66" s="2" t="str">
        <f t="shared" ca="1" si="11"/>
        <v>d8</v>
      </c>
      <c r="L66" s="17">
        <f t="shared" ca="1" si="12"/>
        <v>56.54</v>
      </c>
      <c r="M66">
        <f ca="1">_xlfn.RANK.EQ(Table1[[#This Row],[Average]],Table1[Average])</f>
        <v>120</v>
      </c>
      <c r="O66">
        <f ca="1">INDEX(Table1[],MATCH(ROWS(Table1[]) - (ROW()-4),Table1[Rank], 0), 4)</f>
        <v>118</v>
      </c>
      <c r="P66">
        <f ca="1">INDEX(Table1[],MATCH(ROWS(Table1[]) - (ROW()-4),Table1[Rank], 0), 1)</f>
        <v>8</v>
      </c>
      <c r="Q66" t="str">
        <f ca="1">INDEX(Table1[],MATCH(ROWS(Table1[]) - (ROW()-4),Table1[Rank], 0), 2)</f>
        <v>d12</v>
      </c>
      <c r="R66">
        <f ca="1">INDEX(Table1[],MATCH(ROWS(Table1[]) - (ROW()-4),Table1[Rank], 0), 3)</f>
        <v>56.72</v>
      </c>
    </row>
    <row r="67" spans="10:18" x14ac:dyDescent="0.25">
      <c r="J67" s="16">
        <f t="shared" si="10"/>
        <v>11</v>
      </c>
      <c r="K67" s="2" t="str">
        <f t="shared" ca="1" si="11"/>
        <v>d10</v>
      </c>
      <c r="L67" s="17">
        <f t="shared" ca="1" si="12"/>
        <v>67.210000000000008</v>
      </c>
      <c r="M67">
        <f ca="1">_xlfn.RANK.EQ(Table1[[#This Row],[Average]],Table1[Average])</f>
        <v>106</v>
      </c>
      <c r="O67">
        <f ca="1">INDEX(Table1[],MATCH(ROWS(Table1[]) - (ROW()-4),Table1[Rank], 0), 4)</f>
        <v>117</v>
      </c>
      <c r="P67">
        <f ca="1">INDEX(Table1[],MATCH(ROWS(Table1[]) - (ROW()-4),Table1[Rank], 0), 1)</f>
        <v>14</v>
      </c>
      <c r="Q67" t="str">
        <f ca="1">INDEX(Table1[],MATCH(ROWS(Table1[]) - (ROW()-4),Table1[Rank], 0), 2)</f>
        <v>d6</v>
      </c>
      <c r="R67">
        <f ca="1">INDEX(Table1[],MATCH(ROWS(Table1[]) - (ROW()-4),Table1[Rank], 0), 3)</f>
        <v>58.800000000000004</v>
      </c>
    </row>
    <row r="68" spans="10:18" x14ac:dyDescent="0.25">
      <c r="J68" s="16">
        <f t="shared" ref="J68:J99" si="13">(ROW(J68)-4 -MOD(ROW(J68)-4,6))/6+1</f>
        <v>11</v>
      </c>
      <c r="K68" s="2" t="str">
        <f t="shared" ref="K68:K99" ca="1" si="14">IF(MOD(ROW(INDIRECT("J"&amp;ROW()))-4,6) = 0, "d4", IF(MOD(ROW(INDIRECT("J"&amp;ROW()))-4,6) = 1, "d6", IF(MOD(ROW(INDIRECT("J"&amp;ROW()))-4,6) = 2, "d8", IF(MOD(ROW(INDIRECT("J"&amp;ROW()))-4,6) = 3, "d10", IF(MOD(ROW(INDIRECT("J"&amp;ROW()))-4,6) = 4, "d12", IF(MOD(ROW(INDIRECT("J"&amp;ROW()))-4,6) = 5, "d20", ))))))</f>
        <v>d12</v>
      </c>
      <c r="L68" s="17">
        <f t="shared" ref="L68:L99" ca="1" si="15">INDEX(diceAverages, INDIRECT("J"&amp;ROW()), IF(INDIRECT("K"&amp;ROW()) = "d4", 1,  IF(INDIRECT("K"&amp;ROW()) = "d6", 2,  IF(INDIRECT("K"&amp;ROW()) = "d8", 3,  IF(INDIRECT("K"&amp;ROW()) = "d10", 4, IF(INDIRECT("K"&amp;ROW()) = "d12", 5, IF(INDIRECT("K"&amp;ROW()) = "d20", 6, "ERROR")))))))</f>
        <v>77.989999999999995</v>
      </c>
      <c r="M68">
        <f ca="1">_xlfn.RANK.EQ(Table1[[#This Row],[Average]],Table1[Average])</f>
        <v>95</v>
      </c>
      <c r="O68">
        <f ca="1">INDEX(Table1[],MATCH(ROWS(Table1[]) - (ROW()-4),Table1[Rank], 0), 4)</f>
        <v>116</v>
      </c>
      <c r="P68">
        <f ca="1">INDEX(Table1[],MATCH(ROWS(Table1[]) - (ROW()-4),Table1[Rank], 0), 1)</f>
        <v>18</v>
      </c>
      <c r="Q68" t="str">
        <f ca="1">INDEX(Table1[],MATCH(ROWS(Table1[]) - (ROW()-4),Table1[Rank], 0), 2)</f>
        <v>d4</v>
      </c>
      <c r="R68">
        <f ca="1">INDEX(Table1[],MATCH(ROWS(Table1[]) - (ROW()-4),Table1[Rank], 0), 3)</f>
        <v>59.94</v>
      </c>
    </row>
    <row r="69" spans="10:18" x14ac:dyDescent="0.25">
      <c r="J69" s="16">
        <f t="shared" si="13"/>
        <v>11</v>
      </c>
      <c r="K69" s="2" t="str">
        <f t="shared" ca="1" si="14"/>
        <v>d20</v>
      </c>
      <c r="L69" s="17">
        <f t="shared" ca="1" si="15"/>
        <v>121.55000000000001</v>
      </c>
      <c r="M69">
        <f ca="1">_xlfn.RANK.EQ(Table1[[#This Row],[Average]],Table1[Average])</f>
        <v>53</v>
      </c>
      <c r="O69">
        <f ca="1">INDEX(Table1[],MATCH(ROWS(Table1[]) - (ROW()-4),Table1[Rank], 0), 4)</f>
        <v>115</v>
      </c>
      <c r="P69">
        <f ca="1">INDEX(Table1[],MATCH(ROWS(Table1[]) - (ROW()-4),Table1[Rank], 0), 1)</f>
        <v>10</v>
      </c>
      <c r="Q69" t="str">
        <f ca="1">INDEX(Table1[],MATCH(ROWS(Table1[]) - (ROW()-4),Table1[Rank], 0), 2)</f>
        <v>d10</v>
      </c>
      <c r="R69">
        <f ca="1">INDEX(Table1[],MATCH(ROWS(Table1[]) - (ROW()-4),Table1[Rank], 0), 3)</f>
        <v>61.1</v>
      </c>
    </row>
    <row r="70" spans="10:18" x14ac:dyDescent="0.25">
      <c r="J70" s="1">
        <f t="shared" si="13"/>
        <v>12</v>
      </c>
      <c r="K70" s="2" t="str">
        <f t="shared" ca="1" si="14"/>
        <v>d4</v>
      </c>
      <c r="L70">
        <f t="shared" ca="1" si="15"/>
        <v>39.96</v>
      </c>
      <c r="M70">
        <f ca="1">_xlfn.RANK.EQ(Table1[[#This Row],[Average]],Table1[Average])</f>
        <v>139</v>
      </c>
      <c r="O70">
        <f ca="1">INDEX(Table1[],MATCH(ROWS(Table1[]) - (ROW()-4),Table1[Rank], 0), 4)</f>
        <v>114</v>
      </c>
      <c r="P70">
        <f ca="1">INDEX(Table1[],MATCH(ROWS(Table1[]) - (ROW()-4),Table1[Rank], 0), 1)</f>
        <v>12</v>
      </c>
      <c r="Q70" t="str">
        <f ca="1">INDEX(Table1[],MATCH(ROWS(Table1[]) - (ROW()-4),Table1[Rank], 0), 2)</f>
        <v>d8</v>
      </c>
      <c r="R70">
        <f ca="1">INDEX(Table1[],MATCH(ROWS(Table1[]) - (ROW()-4),Table1[Rank], 0), 3)</f>
        <v>61.679999999999993</v>
      </c>
    </row>
    <row r="71" spans="10:18" x14ac:dyDescent="0.25">
      <c r="J71" s="16">
        <f t="shared" si="13"/>
        <v>12</v>
      </c>
      <c r="K71" s="2" t="str">
        <f t="shared" ca="1" si="14"/>
        <v>d6</v>
      </c>
      <c r="L71" s="17">
        <f t="shared" ca="1" si="15"/>
        <v>50.400000000000006</v>
      </c>
      <c r="M71">
        <f ca="1">_xlfn.RANK.EQ(Table1[[#This Row],[Average]],Table1[Average])</f>
        <v>126</v>
      </c>
      <c r="O71">
        <f ca="1">INDEX(Table1[],MATCH(ROWS(Table1[]) - (ROW()-4),Table1[Rank], 0), 4)</f>
        <v>113</v>
      </c>
      <c r="P71">
        <f ca="1">INDEX(Table1[],MATCH(ROWS(Table1[]) - (ROW()-4),Table1[Rank], 0), 1)</f>
        <v>15</v>
      </c>
      <c r="Q71" t="str">
        <f ca="1">INDEX(Table1[],MATCH(ROWS(Table1[]) - (ROW()-4),Table1[Rank], 0), 2)</f>
        <v>d6</v>
      </c>
      <c r="R71">
        <f ca="1">INDEX(Table1[],MATCH(ROWS(Table1[]) - (ROW()-4),Table1[Rank], 0), 3)</f>
        <v>63</v>
      </c>
    </row>
    <row r="72" spans="10:18" x14ac:dyDescent="0.25">
      <c r="J72" s="16">
        <f t="shared" si="13"/>
        <v>12</v>
      </c>
      <c r="K72" s="2" t="str">
        <f t="shared" ca="1" si="14"/>
        <v>d8</v>
      </c>
      <c r="L72" s="17">
        <f t="shared" ca="1" si="15"/>
        <v>61.679999999999993</v>
      </c>
      <c r="M72">
        <f ca="1">_xlfn.RANK.EQ(Table1[[#This Row],[Average]],Table1[Average])</f>
        <v>114</v>
      </c>
      <c r="O72">
        <f ca="1">INDEX(Table1[],MATCH(ROWS(Table1[]) - (ROW()-4),Table1[Rank], 0), 4)</f>
        <v>112</v>
      </c>
      <c r="P72">
        <f ca="1">INDEX(Table1[],MATCH(ROWS(Table1[]) - (ROW()-4),Table1[Rank], 0), 1)</f>
        <v>19</v>
      </c>
      <c r="Q72" t="str">
        <f ca="1">INDEX(Table1[],MATCH(ROWS(Table1[]) - (ROW()-4),Table1[Rank], 0), 2)</f>
        <v>d4</v>
      </c>
      <c r="R72">
        <f ca="1">INDEX(Table1[],MATCH(ROWS(Table1[]) - (ROW()-4),Table1[Rank], 0), 3)</f>
        <v>63.27</v>
      </c>
    </row>
    <row r="73" spans="10:18" x14ac:dyDescent="0.25">
      <c r="J73" s="1">
        <f t="shared" si="13"/>
        <v>12</v>
      </c>
      <c r="K73" s="2" t="str">
        <f t="shared" ca="1" si="14"/>
        <v>d10</v>
      </c>
      <c r="L73">
        <f t="shared" ca="1" si="15"/>
        <v>73.320000000000007</v>
      </c>
      <c r="M73">
        <f ca="1">_xlfn.RANK.EQ(Table1[[#This Row],[Average]],Table1[Average])</f>
        <v>100</v>
      </c>
      <c r="O73">
        <f ca="1">INDEX(Table1[],MATCH(ROWS(Table1[]) - (ROW()-4),Table1[Rank], 0), 4)</f>
        <v>111</v>
      </c>
      <c r="P73">
        <f ca="1">INDEX(Table1[],MATCH(ROWS(Table1[]) - (ROW()-4),Table1[Rank], 0), 1)</f>
        <v>9</v>
      </c>
      <c r="Q73" t="str">
        <f ca="1">INDEX(Table1[],MATCH(ROWS(Table1[]) - (ROW()-4),Table1[Rank], 0), 2)</f>
        <v>d12</v>
      </c>
      <c r="R73">
        <f ca="1">INDEX(Table1[],MATCH(ROWS(Table1[]) - (ROW()-4),Table1[Rank], 0), 3)</f>
        <v>63.81</v>
      </c>
    </row>
    <row r="74" spans="10:18" x14ac:dyDescent="0.25">
      <c r="J74" s="1">
        <f t="shared" si="13"/>
        <v>12</v>
      </c>
      <c r="K74" s="2" t="str">
        <f t="shared" ca="1" si="14"/>
        <v>d12</v>
      </c>
      <c r="L74">
        <f t="shared" ca="1" si="15"/>
        <v>85.08</v>
      </c>
      <c r="M74">
        <f ca="1">_xlfn.RANK.EQ(Table1[[#This Row],[Average]],Table1[Average])</f>
        <v>88</v>
      </c>
      <c r="O74">
        <f ca="1">INDEX(Table1[],MATCH(ROWS(Table1[]) - (ROW()-4),Table1[Rank], 0), 4)</f>
        <v>110</v>
      </c>
      <c r="P74">
        <f ca="1">INDEX(Table1[],MATCH(ROWS(Table1[]) - (ROW()-4),Table1[Rank], 0), 1)</f>
        <v>6</v>
      </c>
      <c r="Q74" t="str">
        <f ca="1">INDEX(Table1[],MATCH(ROWS(Table1[]) - (ROW()-4),Table1[Rank], 0), 2)</f>
        <v>d20</v>
      </c>
      <c r="R74">
        <f ca="1">INDEX(Table1[],MATCH(ROWS(Table1[]) - (ROW()-4),Table1[Rank], 0), 3)</f>
        <v>66.300000000000011</v>
      </c>
    </row>
    <row r="75" spans="10:18" x14ac:dyDescent="0.25">
      <c r="J75" s="16">
        <f t="shared" si="13"/>
        <v>12</v>
      </c>
      <c r="K75" s="2" t="str">
        <f t="shared" ca="1" si="14"/>
        <v>d20</v>
      </c>
      <c r="L75" s="17">
        <f t="shared" ca="1" si="15"/>
        <v>132.60000000000002</v>
      </c>
      <c r="M75">
        <f ca="1">_xlfn.RANK.EQ(Table1[[#This Row],[Average]],Table1[Average])</f>
        <v>45</v>
      </c>
      <c r="O75">
        <f ca="1">INDEX(Table1[],MATCH(ROWS(Table1[]) - (ROW()-4),Table1[Rank], 0), 4)</f>
        <v>109</v>
      </c>
      <c r="P75">
        <f ca="1">INDEX(Table1[],MATCH(ROWS(Table1[]) - (ROW()-4),Table1[Rank], 0), 1)</f>
        <v>20</v>
      </c>
      <c r="Q75" t="str">
        <f ca="1">INDEX(Table1[],MATCH(ROWS(Table1[]) - (ROW()-4),Table1[Rank], 0), 2)</f>
        <v>d4</v>
      </c>
      <c r="R75">
        <f ca="1">INDEX(Table1[],MATCH(ROWS(Table1[]) - (ROW()-4),Table1[Rank], 0), 3)</f>
        <v>66.599999999999994</v>
      </c>
    </row>
    <row r="76" spans="10:18" x14ac:dyDescent="0.25">
      <c r="J76" s="16">
        <f t="shared" si="13"/>
        <v>13</v>
      </c>
      <c r="K76" s="2" t="str">
        <f t="shared" ca="1" si="14"/>
        <v>d4</v>
      </c>
      <c r="L76" s="17">
        <f t="shared" ca="1" si="15"/>
        <v>43.29</v>
      </c>
      <c r="M76">
        <f ca="1">_xlfn.RANK.EQ(Table1[[#This Row],[Average]],Table1[Average])</f>
        <v>134</v>
      </c>
      <c r="O76">
        <f ca="1">INDEX(Table1[],MATCH(ROWS(Table1[]) - (ROW()-4),Table1[Rank], 0), 4)</f>
        <v>108</v>
      </c>
      <c r="P76">
        <f ca="1">INDEX(Table1[],MATCH(ROWS(Table1[]) - (ROW()-4),Table1[Rank], 0), 1)</f>
        <v>13</v>
      </c>
      <c r="Q76" t="str">
        <f ca="1">INDEX(Table1[],MATCH(ROWS(Table1[]) - (ROW()-4),Table1[Rank], 0), 2)</f>
        <v>d8</v>
      </c>
      <c r="R76">
        <f ca="1">INDEX(Table1[],MATCH(ROWS(Table1[]) - (ROW()-4),Table1[Rank], 0), 3)</f>
        <v>66.819999999999993</v>
      </c>
    </row>
    <row r="77" spans="10:18" x14ac:dyDescent="0.25">
      <c r="J77" s="1">
        <f t="shared" si="13"/>
        <v>13</v>
      </c>
      <c r="K77" s="2" t="str">
        <f t="shared" ca="1" si="14"/>
        <v>d6</v>
      </c>
      <c r="L77">
        <f t="shared" ca="1" si="15"/>
        <v>54.6</v>
      </c>
      <c r="M77">
        <f ca="1">_xlfn.RANK.EQ(Table1[[#This Row],[Average]],Table1[Average])</f>
        <v>123</v>
      </c>
      <c r="O77">
        <f ca="1">INDEX(Table1[],MATCH(ROWS(Table1[]) - (ROW()-4),Table1[Rank], 0), 4)</f>
        <v>107</v>
      </c>
      <c r="P77">
        <f ca="1">INDEX(Table1[],MATCH(ROWS(Table1[]) - (ROW()-4),Table1[Rank], 0), 1)</f>
        <v>16</v>
      </c>
      <c r="Q77" t="str">
        <f ca="1">INDEX(Table1[],MATCH(ROWS(Table1[]) - (ROW()-4),Table1[Rank], 0), 2)</f>
        <v>d6</v>
      </c>
      <c r="R77">
        <f ca="1">INDEX(Table1[],MATCH(ROWS(Table1[]) - (ROW()-4),Table1[Rank], 0), 3)</f>
        <v>67.2</v>
      </c>
    </row>
    <row r="78" spans="10:18" x14ac:dyDescent="0.25">
      <c r="J78" s="16">
        <f t="shared" si="13"/>
        <v>13</v>
      </c>
      <c r="K78" s="2" t="str">
        <f t="shared" ca="1" si="14"/>
        <v>d8</v>
      </c>
      <c r="L78" s="17">
        <f t="shared" ca="1" si="15"/>
        <v>66.819999999999993</v>
      </c>
      <c r="M78">
        <f ca="1">_xlfn.RANK.EQ(Table1[[#This Row],[Average]],Table1[Average])</f>
        <v>108</v>
      </c>
      <c r="O78">
        <f ca="1">INDEX(Table1[],MATCH(ROWS(Table1[]) - (ROW()-4),Table1[Rank], 0), 4)</f>
        <v>106</v>
      </c>
      <c r="P78">
        <f ca="1">INDEX(Table1[],MATCH(ROWS(Table1[]) - (ROW()-4),Table1[Rank], 0), 1)</f>
        <v>11</v>
      </c>
      <c r="Q78" t="str">
        <f ca="1">INDEX(Table1[],MATCH(ROWS(Table1[]) - (ROW()-4),Table1[Rank], 0), 2)</f>
        <v>d10</v>
      </c>
      <c r="R78">
        <f ca="1">INDEX(Table1[],MATCH(ROWS(Table1[]) - (ROW()-4),Table1[Rank], 0), 3)</f>
        <v>67.210000000000008</v>
      </c>
    </row>
    <row r="79" spans="10:18" x14ac:dyDescent="0.25">
      <c r="J79" s="16">
        <f t="shared" si="13"/>
        <v>13</v>
      </c>
      <c r="K79" s="2" t="str">
        <f t="shared" ca="1" si="14"/>
        <v>d10</v>
      </c>
      <c r="L79" s="17">
        <f t="shared" ca="1" si="15"/>
        <v>79.430000000000007</v>
      </c>
      <c r="M79">
        <f ca="1">_xlfn.RANK.EQ(Table1[[#This Row],[Average]],Table1[Average])</f>
        <v>94</v>
      </c>
      <c r="O79">
        <f ca="1">INDEX(Table1[],MATCH(ROWS(Table1[]) - (ROW()-4),Table1[Rank], 0), 4)</f>
        <v>105</v>
      </c>
      <c r="P79">
        <f ca="1">INDEX(Table1[],MATCH(ROWS(Table1[]) - (ROW()-4),Table1[Rank], 0), 1)</f>
        <v>21</v>
      </c>
      <c r="Q79" t="str">
        <f ca="1">INDEX(Table1[],MATCH(ROWS(Table1[]) - (ROW()-4),Table1[Rank], 0), 2)</f>
        <v>d4</v>
      </c>
      <c r="R79">
        <f ca="1">INDEX(Table1[],MATCH(ROWS(Table1[]) - (ROW()-4),Table1[Rank], 0), 3)</f>
        <v>69.930000000000007</v>
      </c>
    </row>
    <row r="80" spans="10:18" x14ac:dyDescent="0.25">
      <c r="J80" s="1">
        <f t="shared" si="13"/>
        <v>13</v>
      </c>
      <c r="K80" s="2" t="str">
        <f t="shared" ca="1" si="14"/>
        <v>d12</v>
      </c>
      <c r="L80">
        <f t="shared" ca="1" si="15"/>
        <v>92.17</v>
      </c>
      <c r="M80">
        <f ca="1">_xlfn.RANK.EQ(Table1[[#This Row],[Average]],Table1[Average])</f>
        <v>80</v>
      </c>
      <c r="O80">
        <f ca="1">INDEX(Table1[],MATCH(ROWS(Table1[]) - (ROW()-4),Table1[Rank], 0), 4)</f>
        <v>104</v>
      </c>
      <c r="P80">
        <f ca="1">INDEX(Table1[],MATCH(ROWS(Table1[]) - (ROW()-4),Table1[Rank], 0), 1)</f>
        <v>10</v>
      </c>
      <c r="Q80" t="str">
        <f ca="1">INDEX(Table1[],MATCH(ROWS(Table1[]) - (ROW()-4),Table1[Rank], 0), 2)</f>
        <v>d12</v>
      </c>
      <c r="R80">
        <f ca="1">INDEX(Table1[],MATCH(ROWS(Table1[]) - (ROW()-4),Table1[Rank], 0), 3)</f>
        <v>70.900000000000006</v>
      </c>
    </row>
    <row r="81" spans="10:18" x14ac:dyDescent="0.25">
      <c r="J81" s="16">
        <f t="shared" si="13"/>
        <v>13</v>
      </c>
      <c r="K81" s="2" t="str">
        <f t="shared" ca="1" si="14"/>
        <v>d20</v>
      </c>
      <c r="L81" s="17">
        <f t="shared" ca="1" si="15"/>
        <v>143.65</v>
      </c>
      <c r="M81">
        <f ca="1">_xlfn.RANK.EQ(Table1[[#This Row],[Average]],Table1[Average])</f>
        <v>38</v>
      </c>
      <c r="O81">
        <f ca="1">INDEX(Table1[],MATCH(ROWS(Table1[]) - (ROW()-4),Table1[Rank], 0), 4)</f>
        <v>103</v>
      </c>
      <c r="P81">
        <f ca="1">INDEX(Table1[],MATCH(ROWS(Table1[]) - (ROW()-4),Table1[Rank], 0), 1)</f>
        <v>17</v>
      </c>
      <c r="Q81" t="str">
        <f ca="1">INDEX(Table1[],MATCH(ROWS(Table1[]) - (ROW()-4),Table1[Rank], 0), 2)</f>
        <v>d6</v>
      </c>
      <c r="R81">
        <f ca="1">INDEX(Table1[],MATCH(ROWS(Table1[]) - (ROW()-4),Table1[Rank], 0), 3)</f>
        <v>71.400000000000006</v>
      </c>
    </row>
    <row r="82" spans="10:18" x14ac:dyDescent="0.25">
      <c r="J82" s="16">
        <f t="shared" si="13"/>
        <v>14</v>
      </c>
      <c r="K82" s="2" t="str">
        <f t="shared" ca="1" si="14"/>
        <v>d4</v>
      </c>
      <c r="L82" s="17">
        <f t="shared" ca="1" si="15"/>
        <v>46.620000000000005</v>
      </c>
      <c r="M82">
        <f ca="1">_xlfn.RANK.EQ(Table1[[#This Row],[Average]],Table1[Average])</f>
        <v>130</v>
      </c>
      <c r="O82">
        <f ca="1">INDEX(Table1[],MATCH(ROWS(Table1[]) - (ROW()-4),Table1[Rank], 0), 4)</f>
        <v>102</v>
      </c>
      <c r="P82">
        <f ca="1">INDEX(Table1[],MATCH(ROWS(Table1[]) - (ROW()-4),Table1[Rank], 0), 1)</f>
        <v>14</v>
      </c>
      <c r="Q82" t="str">
        <f ca="1">INDEX(Table1[],MATCH(ROWS(Table1[]) - (ROW()-4),Table1[Rank], 0), 2)</f>
        <v>d8</v>
      </c>
      <c r="R82">
        <f ca="1">INDEX(Table1[],MATCH(ROWS(Table1[]) - (ROW()-4),Table1[Rank], 0), 3)</f>
        <v>71.959999999999994</v>
      </c>
    </row>
    <row r="83" spans="10:18" x14ac:dyDescent="0.25">
      <c r="J83" s="1">
        <f t="shared" si="13"/>
        <v>14</v>
      </c>
      <c r="K83" s="2" t="str">
        <f t="shared" ca="1" si="14"/>
        <v>d6</v>
      </c>
      <c r="L83">
        <f t="shared" ca="1" si="15"/>
        <v>58.800000000000004</v>
      </c>
      <c r="M83">
        <f ca="1">_xlfn.RANK.EQ(Table1[[#This Row],[Average]],Table1[Average])</f>
        <v>117</v>
      </c>
      <c r="O83">
        <f ca="1">INDEX(Table1[],MATCH(ROWS(Table1[]) - (ROW()-4),Table1[Rank], 0), 4)</f>
        <v>101</v>
      </c>
      <c r="P83">
        <f ca="1">INDEX(Table1[],MATCH(ROWS(Table1[]) - (ROW()-4),Table1[Rank], 0), 1)</f>
        <v>22</v>
      </c>
      <c r="Q83" t="str">
        <f ca="1">INDEX(Table1[],MATCH(ROWS(Table1[]) - (ROW()-4),Table1[Rank], 0), 2)</f>
        <v>d4</v>
      </c>
      <c r="R83">
        <f ca="1">INDEX(Table1[],MATCH(ROWS(Table1[]) - (ROW()-4),Table1[Rank], 0), 3)</f>
        <v>73.260000000000005</v>
      </c>
    </row>
    <row r="84" spans="10:18" x14ac:dyDescent="0.25">
      <c r="J84" s="1">
        <f t="shared" si="13"/>
        <v>14</v>
      </c>
      <c r="K84" s="2" t="str">
        <f t="shared" ca="1" si="14"/>
        <v>d8</v>
      </c>
      <c r="L84">
        <f t="shared" ca="1" si="15"/>
        <v>71.959999999999994</v>
      </c>
      <c r="M84">
        <f ca="1">_xlfn.RANK.EQ(Table1[[#This Row],[Average]],Table1[Average])</f>
        <v>102</v>
      </c>
      <c r="O84">
        <f ca="1">INDEX(Table1[],MATCH(ROWS(Table1[]) - (ROW()-4),Table1[Rank], 0), 4)</f>
        <v>100</v>
      </c>
      <c r="P84">
        <f ca="1">INDEX(Table1[],MATCH(ROWS(Table1[]) - (ROW()-4),Table1[Rank], 0), 1)</f>
        <v>12</v>
      </c>
      <c r="Q84" t="str">
        <f ca="1">INDEX(Table1[],MATCH(ROWS(Table1[]) - (ROW()-4),Table1[Rank], 0), 2)</f>
        <v>d10</v>
      </c>
      <c r="R84">
        <f ca="1">INDEX(Table1[],MATCH(ROWS(Table1[]) - (ROW()-4),Table1[Rank], 0), 3)</f>
        <v>73.320000000000007</v>
      </c>
    </row>
    <row r="85" spans="10:18" x14ac:dyDescent="0.25">
      <c r="J85" s="1">
        <f t="shared" si="13"/>
        <v>14</v>
      </c>
      <c r="K85" s="2" t="str">
        <f t="shared" ca="1" si="14"/>
        <v>d10</v>
      </c>
      <c r="L85">
        <f t="shared" ca="1" si="15"/>
        <v>85.54</v>
      </c>
      <c r="M85">
        <f ca="1">_xlfn.RANK.EQ(Table1[[#This Row],[Average]],Table1[Average])</f>
        <v>87</v>
      </c>
      <c r="O85">
        <f ca="1">INDEX(Table1[],MATCH(ROWS(Table1[]) - (ROW()-4),Table1[Rank], 0), 4)</f>
        <v>99</v>
      </c>
      <c r="P85">
        <f ca="1">INDEX(Table1[],MATCH(ROWS(Table1[]) - (ROW()-4),Table1[Rank], 0), 1)</f>
        <v>18</v>
      </c>
      <c r="Q85" t="str">
        <f ca="1">INDEX(Table1[],MATCH(ROWS(Table1[]) - (ROW()-4),Table1[Rank], 0), 2)</f>
        <v>d6</v>
      </c>
      <c r="R85">
        <f ca="1">INDEX(Table1[],MATCH(ROWS(Table1[]) - (ROW()-4),Table1[Rank], 0), 3)</f>
        <v>75.600000000000009</v>
      </c>
    </row>
    <row r="86" spans="10:18" x14ac:dyDescent="0.25">
      <c r="J86" s="1">
        <f t="shared" si="13"/>
        <v>14</v>
      </c>
      <c r="K86" s="2" t="str">
        <f t="shared" ca="1" si="14"/>
        <v>d12</v>
      </c>
      <c r="L86">
        <f t="shared" ca="1" si="15"/>
        <v>99.259999999999991</v>
      </c>
      <c r="M86">
        <f ca="1">_xlfn.RANK.EQ(Table1[[#This Row],[Average]],Table1[Average])</f>
        <v>72</v>
      </c>
      <c r="O86">
        <f ca="1">INDEX(Table1[],MATCH(ROWS(Table1[]) - (ROW()-4),Table1[Rank], 0), 4)</f>
        <v>98</v>
      </c>
      <c r="P86">
        <f ca="1">INDEX(Table1[],MATCH(ROWS(Table1[]) - (ROW()-4),Table1[Rank], 0), 1)</f>
        <v>23</v>
      </c>
      <c r="Q86" t="str">
        <f ca="1">INDEX(Table1[],MATCH(ROWS(Table1[]) - (ROW()-4),Table1[Rank], 0), 2)</f>
        <v>d4</v>
      </c>
      <c r="R86">
        <f ca="1">INDEX(Table1[],MATCH(ROWS(Table1[]) - (ROW()-4),Table1[Rank], 0), 3)</f>
        <v>76.59</v>
      </c>
    </row>
    <row r="87" spans="10:18" x14ac:dyDescent="0.25">
      <c r="J87" s="16">
        <f t="shared" si="13"/>
        <v>14</v>
      </c>
      <c r="K87" s="2" t="str">
        <f t="shared" ca="1" si="14"/>
        <v>d20</v>
      </c>
      <c r="L87" s="17">
        <f t="shared" ca="1" si="15"/>
        <v>154.70000000000002</v>
      </c>
      <c r="M87">
        <f ca="1">_xlfn.RANK.EQ(Table1[[#This Row],[Average]],Table1[Average])</f>
        <v>31</v>
      </c>
      <c r="O87">
        <f ca="1">INDEX(Table1[],MATCH(ROWS(Table1[]) - (ROW()-4),Table1[Rank], 0), 4)</f>
        <v>97</v>
      </c>
      <c r="P87">
        <f ca="1">INDEX(Table1[],MATCH(ROWS(Table1[]) - (ROW()-4),Table1[Rank], 0), 1)</f>
        <v>15</v>
      </c>
      <c r="Q87" t="str">
        <f ca="1">INDEX(Table1[],MATCH(ROWS(Table1[]) - (ROW()-4),Table1[Rank], 0), 2)</f>
        <v>d8</v>
      </c>
      <c r="R87">
        <f ca="1">INDEX(Table1[],MATCH(ROWS(Table1[]) - (ROW()-4),Table1[Rank], 0), 3)</f>
        <v>77.099999999999994</v>
      </c>
    </row>
    <row r="88" spans="10:18" x14ac:dyDescent="0.25">
      <c r="J88" s="16">
        <f t="shared" si="13"/>
        <v>15</v>
      </c>
      <c r="K88" s="2" t="str">
        <f t="shared" ca="1" si="14"/>
        <v>d4</v>
      </c>
      <c r="L88" s="17">
        <f t="shared" ca="1" si="15"/>
        <v>49.95</v>
      </c>
      <c r="M88">
        <f ca="1">_xlfn.RANK.EQ(Table1[[#This Row],[Average]],Table1[Average])</f>
        <v>127</v>
      </c>
      <c r="O88">
        <f ca="1">INDEX(Table1[],MATCH(ROWS(Table1[]) - (ROW()-4),Table1[Rank], 0), 4)</f>
        <v>96</v>
      </c>
      <c r="P88">
        <f ca="1">INDEX(Table1[],MATCH(ROWS(Table1[]) - (ROW()-4),Table1[Rank], 0), 1)</f>
        <v>7</v>
      </c>
      <c r="Q88" t="str">
        <f ca="1">INDEX(Table1[],MATCH(ROWS(Table1[]) - (ROW()-4),Table1[Rank], 0), 2)</f>
        <v>d20</v>
      </c>
      <c r="R88">
        <f ca="1">INDEX(Table1[],MATCH(ROWS(Table1[]) - (ROW()-4),Table1[Rank], 0), 3)</f>
        <v>77.350000000000009</v>
      </c>
    </row>
    <row r="89" spans="10:18" x14ac:dyDescent="0.25">
      <c r="J89" s="1">
        <f t="shared" si="13"/>
        <v>15</v>
      </c>
      <c r="K89" s="2" t="str">
        <f t="shared" ca="1" si="14"/>
        <v>d6</v>
      </c>
      <c r="L89">
        <f t="shared" ca="1" si="15"/>
        <v>63</v>
      </c>
      <c r="M89">
        <f ca="1">_xlfn.RANK.EQ(Table1[[#This Row],[Average]],Table1[Average])</f>
        <v>113</v>
      </c>
      <c r="O89">
        <f ca="1">INDEX(Table1[],MATCH(ROWS(Table1[]) - (ROW()-4),Table1[Rank], 0), 4)</f>
        <v>95</v>
      </c>
      <c r="P89">
        <f ca="1">INDEX(Table1[],MATCH(ROWS(Table1[]) - (ROW()-4),Table1[Rank], 0), 1)</f>
        <v>11</v>
      </c>
      <c r="Q89" t="str">
        <f ca="1">INDEX(Table1[],MATCH(ROWS(Table1[]) - (ROW()-4),Table1[Rank], 0), 2)</f>
        <v>d12</v>
      </c>
      <c r="R89">
        <f ca="1">INDEX(Table1[],MATCH(ROWS(Table1[]) - (ROW()-4),Table1[Rank], 0), 3)</f>
        <v>77.989999999999995</v>
      </c>
    </row>
    <row r="90" spans="10:18" x14ac:dyDescent="0.25">
      <c r="J90" s="16">
        <f t="shared" si="13"/>
        <v>15</v>
      </c>
      <c r="K90" s="2" t="str">
        <f t="shared" ca="1" si="14"/>
        <v>d8</v>
      </c>
      <c r="L90" s="17">
        <f t="shared" ca="1" si="15"/>
        <v>77.099999999999994</v>
      </c>
      <c r="M90">
        <f ca="1">_xlfn.RANK.EQ(Table1[[#This Row],[Average]],Table1[Average])</f>
        <v>97</v>
      </c>
      <c r="O90">
        <f ca="1">INDEX(Table1[],MATCH(ROWS(Table1[]) - (ROW()-4),Table1[Rank], 0), 4)</f>
        <v>94</v>
      </c>
      <c r="P90">
        <f ca="1">INDEX(Table1[],MATCH(ROWS(Table1[]) - (ROW()-4),Table1[Rank], 0), 1)</f>
        <v>13</v>
      </c>
      <c r="Q90" t="str">
        <f ca="1">INDEX(Table1[],MATCH(ROWS(Table1[]) - (ROW()-4),Table1[Rank], 0), 2)</f>
        <v>d10</v>
      </c>
      <c r="R90">
        <f ca="1">INDEX(Table1[],MATCH(ROWS(Table1[]) - (ROW()-4),Table1[Rank], 0), 3)</f>
        <v>79.430000000000007</v>
      </c>
    </row>
    <row r="91" spans="10:18" x14ac:dyDescent="0.25">
      <c r="J91" s="1">
        <f t="shared" si="13"/>
        <v>15</v>
      </c>
      <c r="K91" s="2" t="str">
        <f t="shared" ca="1" si="14"/>
        <v>d10</v>
      </c>
      <c r="L91">
        <f t="shared" ca="1" si="15"/>
        <v>91.65</v>
      </c>
      <c r="M91">
        <f ca="1">_xlfn.RANK.EQ(Table1[[#This Row],[Average]],Table1[Average])</f>
        <v>81</v>
      </c>
      <c r="O91">
        <f ca="1">INDEX(Table1[],MATCH(ROWS(Table1[]) - (ROW()-4),Table1[Rank], 0), 4)</f>
        <v>93</v>
      </c>
      <c r="P91">
        <f ca="1">INDEX(Table1[],MATCH(ROWS(Table1[]) - (ROW()-4),Table1[Rank], 0), 1)</f>
        <v>19</v>
      </c>
      <c r="Q91" t="str">
        <f ca="1">INDEX(Table1[],MATCH(ROWS(Table1[]) - (ROW()-4),Table1[Rank], 0), 2)</f>
        <v>d6</v>
      </c>
      <c r="R91">
        <f ca="1">INDEX(Table1[],MATCH(ROWS(Table1[]) - (ROW()-4),Table1[Rank], 0), 3)</f>
        <v>79.8</v>
      </c>
    </row>
    <row r="92" spans="10:18" x14ac:dyDescent="0.25">
      <c r="J92" s="16">
        <f t="shared" si="13"/>
        <v>15</v>
      </c>
      <c r="K92" s="2" t="str">
        <f t="shared" ca="1" si="14"/>
        <v>d12</v>
      </c>
      <c r="L92" s="17">
        <f t="shared" ca="1" si="15"/>
        <v>106.35</v>
      </c>
      <c r="M92">
        <f ca="1">_xlfn.RANK.EQ(Table1[[#This Row],[Average]],Table1[Average])</f>
        <v>65</v>
      </c>
      <c r="O92">
        <f ca="1">INDEX(Table1[],MATCH(ROWS(Table1[]) - (ROW()-4),Table1[Rank], 0), 4)</f>
        <v>92</v>
      </c>
      <c r="P92">
        <f ca="1">INDEX(Table1[],MATCH(ROWS(Table1[]) - (ROW()-4),Table1[Rank], 0), 1)</f>
        <v>24</v>
      </c>
      <c r="Q92" t="str">
        <f ca="1">INDEX(Table1[],MATCH(ROWS(Table1[]) - (ROW()-4),Table1[Rank], 0), 2)</f>
        <v>d4</v>
      </c>
      <c r="R92">
        <f ca="1">INDEX(Table1[],MATCH(ROWS(Table1[]) - (ROW()-4),Table1[Rank], 0), 3)</f>
        <v>79.92</v>
      </c>
    </row>
    <row r="93" spans="10:18" x14ac:dyDescent="0.25">
      <c r="J93" s="16">
        <f t="shared" si="13"/>
        <v>15</v>
      </c>
      <c r="K93" s="2" t="str">
        <f t="shared" ca="1" si="14"/>
        <v>d20</v>
      </c>
      <c r="L93" s="17">
        <f t="shared" ca="1" si="15"/>
        <v>165.75</v>
      </c>
      <c r="M93">
        <f ca="1">_xlfn.RANK.EQ(Table1[[#This Row],[Average]],Table1[Average])</f>
        <v>26</v>
      </c>
      <c r="O93">
        <f ca="1">INDEX(Table1[],MATCH(ROWS(Table1[]) - (ROW()-4),Table1[Rank], 0), 4)</f>
        <v>91</v>
      </c>
      <c r="P93">
        <f ca="1">INDEX(Table1[],MATCH(ROWS(Table1[]) - (ROW()-4),Table1[Rank], 0), 1)</f>
        <v>16</v>
      </c>
      <c r="Q93" t="str">
        <f ca="1">INDEX(Table1[],MATCH(ROWS(Table1[]) - (ROW()-4),Table1[Rank], 0), 2)</f>
        <v>d8</v>
      </c>
      <c r="R93">
        <f ca="1">INDEX(Table1[],MATCH(ROWS(Table1[]) - (ROW()-4),Table1[Rank], 0), 3)</f>
        <v>82.24</v>
      </c>
    </row>
    <row r="94" spans="10:18" x14ac:dyDescent="0.25">
      <c r="J94" s="1">
        <f t="shared" si="13"/>
        <v>16</v>
      </c>
      <c r="K94" s="2" t="str">
        <f t="shared" ca="1" si="14"/>
        <v>d4</v>
      </c>
      <c r="L94">
        <f t="shared" ca="1" si="15"/>
        <v>53.28</v>
      </c>
      <c r="M94">
        <f ca="1">_xlfn.RANK.EQ(Table1[[#This Row],[Average]],Table1[Average])</f>
        <v>124</v>
      </c>
      <c r="O94">
        <f ca="1">INDEX(Table1[],MATCH(ROWS(Table1[]) - (ROW()-4),Table1[Rank], 0), 4)</f>
        <v>90</v>
      </c>
      <c r="P94">
        <f ca="1">INDEX(Table1[],MATCH(ROWS(Table1[]) - (ROW()-4),Table1[Rank], 0), 1)</f>
        <v>25</v>
      </c>
      <c r="Q94" t="str">
        <f ca="1">INDEX(Table1[],MATCH(ROWS(Table1[]) - (ROW()-4),Table1[Rank], 0), 2)</f>
        <v>d4</v>
      </c>
      <c r="R94">
        <f ca="1">INDEX(Table1[],MATCH(ROWS(Table1[]) - (ROW()-4),Table1[Rank], 0), 3)</f>
        <v>83.25</v>
      </c>
    </row>
    <row r="95" spans="10:18" x14ac:dyDescent="0.25">
      <c r="J95" s="16">
        <f t="shared" si="13"/>
        <v>16</v>
      </c>
      <c r="K95" s="2" t="str">
        <f t="shared" ca="1" si="14"/>
        <v>d6</v>
      </c>
      <c r="L95" s="17">
        <f t="shared" ca="1" si="15"/>
        <v>67.2</v>
      </c>
      <c r="M95">
        <f ca="1">_xlfn.RANK.EQ(Table1[[#This Row],[Average]],Table1[Average])</f>
        <v>107</v>
      </c>
      <c r="O95">
        <f ca="1">INDEX(Table1[],MATCH(ROWS(Table1[]) - (ROW()-4),Table1[Rank], 0), 4)</f>
        <v>89</v>
      </c>
      <c r="P95">
        <f ca="1">INDEX(Table1[],MATCH(ROWS(Table1[]) - (ROW()-4),Table1[Rank], 0), 1)</f>
        <v>20</v>
      </c>
      <c r="Q95" t="str">
        <f ca="1">INDEX(Table1[],MATCH(ROWS(Table1[]) - (ROW()-4),Table1[Rank], 0), 2)</f>
        <v>d6</v>
      </c>
      <c r="R95">
        <f ca="1">INDEX(Table1[],MATCH(ROWS(Table1[]) - (ROW()-4),Table1[Rank], 0), 3)</f>
        <v>84</v>
      </c>
    </row>
    <row r="96" spans="10:18" x14ac:dyDescent="0.25">
      <c r="J96" s="1">
        <f t="shared" si="13"/>
        <v>16</v>
      </c>
      <c r="K96" s="2" t="str">
        <f t="shared" ca="1" si="14"/>
        <v>d8</v>
      </c>
      <c r="L96">
        <f t="shared" ca="1" si="15"/>
        <v>82.24</v>
      </c>
      <c r="M96">
        <f ca="1">_xlfn.RANK.EQ(Table1[[#This Row],[Average]],Table1[Average])</f>
        <v>91</v>
      </c>
      <c r="O96">
        <f ca="1">INDEX(Table1[],MATCH(ROWS(Table1[]) - (ROW()-4),Table1[Rank], 0), 4)</f>
        <v>88</v>
      </c>
      <c r="P96">
        <f ca="1">INDEX(Table1[],MATCH(ROWS(Table1[]) - (ROW()-4),Table1[Rank], 0), 1)</f>
        <v>12</v>
      </c>
      <c r="Q96" t="str">
        <f ca="1">INDEX(Table1[],MATCH(ROWS(Table1[]) - (ROW()-4),Table1[Rank], 0), 2)</f>
        <v>d12</v>
      </c>
      <c r="R96">
        <f ca="1">INDEX(Table1[],MATCH(ROWS(Table1[]) - (ROW()-4),Table1[Rank], 0), 3)</f>
        <v>85.08</v>
      </c>
    </row>
    <row r="97" spans="10:19" x14ac:dyDescent="0.25">
      <c r="J97" s="16">
        <f t="shared" si="13"/>
        <v>16</v>
      </c>
      <c r="K97" s="2" t="str">
        <f t="shared" ca="1" si="14"/>
        <v>d10</v>
      </c>
      <c r="L97" s="17">
        <f t="shared" ca="1" si="15"/>
        <v>97.76</v>
      </c>
      <c r="M97">
        <f ca="1">_xlfn.RANK.EQ(Table1[[#This Row],[Average]],Table1[Average])</f>
        <v>73</v>
      </c>
      <c r="O97">
        <f ca="1">INDEX(Table1[],MATCH(ROWS(Table1[]) - (ROW()-4),Table1[Rank], 0), 4)</f>
        <v>87</v>
      </c>
      <c r="P97">
        <f ca="1">INDEX(Table1[],MATCH(ROWS(Table1[]) - (ROW()-4),Table1[Rank], 0), 1)</f>
        <v>14</v>
      </c>
      <c r="Q97" t="str">
        <f ca="1">INDEX(Table1[],MATCH(ROWS(Table1[]) - (ROW()-4),Table1[Rank], 0), 2)</f>
        <v>d10</v>
      </c>
      <c r="R97">
        <f ca="1">INDEX(Table1[],MATCH(ROWS(Table1[]) - (ROW()-4),Table1[Rank], 0), 3)</f>
        <v>85.54</v>
      </c>
    </row>
    <row r="98" spans="10:19" x14ac:dyDescent="0.25">
      <c r="J98" s="16">
        <f t="shared" si="13"/>
        <v>16</v>
      </c>
      <c r="K98" s="2" t="str">
        <f t="shared" ca="1" si="14"/>
        <v>d12</v>
      </c>
      <c r="L98" s="17">
        <f t="shared" ca="1" si="15"/>
        <v>113.44</v>
      </c>
      <c r="M98">
        <f ca="1">_xlfn.RANK.EQ(Table1[[#This Row],[Average]],Table1[Average])</f>
        <v>58</v>
      </c>
      <c r="O98">
        <f ca="1">INDEX(Table1[],MATCH(ROWS(Table1[]) - (ROW()-4),Table1[Rank], 0), 4)</f>
        <v>86</v>
      </c>
      <c r="P98">
        <f ca="1">INDEX(Table1[],MATCH(ROWS(Table1[]) - (ROW()-4),Table1[Rank], 0), 1)</f>
        <v>26</v>
      </c>
      <c r="Q98" t="str">
        <f ca="1">INDEX(Table1[],MATCH(ROWS(Table1[]) - (ROW()-4),Table1[Rank], 0), 2)</f>
        <v>d4</v>
      </c>
      <c r="R98">
        <f ca="1">INDEX(Table1[],MATCH(ROWS(Table1[]) - (ROW()-4),Table1[Rank], 0), 3)</f>
        <v>86.58</v>
      </c>
    </row>
    <row r="99" spans="10:19" x14ac:dyDescent="0.25">
      <c r="J99" s="1">
        <f t="shared" si="13"/>
        <v>16</v>
      </c>
      <c r="K99" s="2" t="str">
        <f t="shared" ca="1" si="14"/>
        <v>d20</v>
      </c>
      <c r="L99">
        <f t="shared" ca="1" si="15"/>
        <v>176.8</v>
      </c>
      <c r="M99">
        <f ca="1">_xlfn.RANK.EQ(Table1[[#This Row],[Average]],Table1[Average])</f>
        <v>23</v>
      </c>
      <c r="O99">
        <f ca="1">INDEX(Table1[],MATCH(ROWS(Table1[]) - (ROW()-4),Table1[Rank], 0), 4)</f>
        <v>85</v>
      </c>
      <c r="P99">
        <f ca="1">INDEX(Table1[],MATCH(ROWS(Table1[]) - (ROW()-4),Table1[Rank], 0), 1)</f>
        <v>17</v>
      </c>
      <c r="Q99" t="str">
        <f ca="1">INDEX(Table1[],MATCH(ROWS(Table1[]) - (ROW()-4),Table1[Rank], 0), 2)</f>
        <v>d8</v>
      </c>
      <c r="R99">
        <f ca="1">INDEX(Table1[],MATCH(ROWS(Table1[]) - (ROW()-4),Table1[Rank], 0), 3)</f>
        <v>87.38</v>
      </c>
    </row>
    <row r="100" spans="10:19" x14ac:dyDescent="0.25">
      <c r="J100" s="16">
        <f t="shared" ref="J100:J131" si="16">(ROW(J100)-4 -MOD(ROW(J100)-4,6))/6+1</f>
        <v>17</v>
      </c>
      <c r="K100" s="2" t="str">
        <f t="shared" ref="K100:K131" ca="1" si="17">IF(MOD(ROW(INDIRECT("J"&amp;ROW()))-4,6) = 0, "d4", IF(MOD(ROW(INDIRECT("J"&amp;ROW()))-4,6) = 1, "d6", IF(MOD(ROW(INDIRECT("J"&amp;ROW()))-4,6) = 2, "d8", IF(MOD(ROW(INDIRECT("J"&amp;ROW()))-4,6) = 3, "d10", IF(MOD(ROW(INDIRECT("J"&amp;ROW()))-4,6) = 4, "d12", IF(MOD(ROW(INDIRECT("J"&amp;ROW()))-4,6) = 5, "d20", ))))))</f>
        <v>d4</v>
      </c>
      <c r="L100" s="17">
        <f t="shared" ref="L100:L131" ca="1" si="18">INDEX(diceAverages, INDIRECT("J"&amp;ROW()), IF(INDIRECT("K"&amp;ROW()) = "d4", 1,  IF(INDIRECT("K"&amp;ROW()) = "d6", 2,  IF(INDIRECT("K"&amp;ROW()) = "d8", 3,  IF(INDIRECT("K"&amp;ROW()) = "d10", 4, IF(INDIRECT("K"&amp;ROW()) = "d12", 5, IF(INDIRECT("K"&amp;ROW()) = "d20", 6, "ERROR")))))))</f>
        <v>56.61</v>
      </c>
      <c r="M100">
        <f ca="1">_xlfn.RANK.EQ(Table1[[#This Row],[Average]],Table1[Average])</f>
        <v>119</v>
      </c>
      <c r="O100">
        <f ca="1">INDEX(Table1[],MATCH(ROWS(Table1[]) - (ROW()-4),Table1[Rank], 0), 4)</f>
        <v>84</v>
      </c>
      <c r="P100">
        <f ca="1">INDEX(Table1[],MATCH(ROWS(Table1[]) - (ROW()-4),Table1[Rank], 0), 1)</f>
        <v>21</v>
      </c>
      <c r="Q100" t="str">
        <f ca="1">INDEX(Table1[],MATCH(ROWS(Table1[]) - (ROW()-4),Table1[Rank], 0), 2)</f>
        <v>d6</v>
      </c>
      <c r="R100">
        <f ca="1">INDEX(Table1[],MATCH(ROWS(Table1[]) - (ROW()-4),Table1[Rank], 0), 3)</f>
        <v>88.2</v>
      </c>
    </row>
    <row r="101" spans="10:19" x14ac:dyDescent="0.25">
      <c r="J101" s="16">
        <f t="shared" si="16"/>
        <v>17</v>
      </c>
      <c r="K101" s="2" t="str">
        <f t="shared" ca="1" si="17"/>
        <v>d6</v>
      </c>
      <c r="L101" s="17">
        <f t="shared" ca="1" si="18"/>
        <v>71.400000000000006</v>
      </c>
      <c r="M101">
        <f ca="1">_xlfn.RANK.EQ(Table1[[#This Row],[Average]],Table1[Average])</f>
        <v>103</v>
      </c>
      <c r="O101">
        <f ca="1">INDEX(Table1[],MATCH(ROWS(Table1[]) - (ROW()-4),Table1[Rank], 0), 4)</f>
        <v>83</v>
      </c>
      <c r="P101">
        <f ca="1">INDEX(Table1[],MATCH(ROWS(Table1[]) - (ROW()-4),Table1[Rank], 0), 1)</f>
        <v>8</v>
      </c>
      <c r="Q101" t="str">
        <f ca="1">INDEX(Table1[],MATCH(ROWS(Table1[]) - (ROW()-4),Table1[Rank], 0), 2)</f>
        <v>d20</v>
      </c>
      <c r="R101">
        <f ca="1">INDEX(Table1[],MATCH(ROWS(Table1[]) - (ROW()-4),Table1[Rank], 0), 3)</f>
        <v>88.4</v>
      </c>
    </row>
    <row r="102" spans="10:19" x14ac:dyDescent="0.25">
      <c r="J102" s="1">
        <f t="shared" si="16"/>
        <v>17</v>
      </c>
      <c r="K102" s="2" t="str">
        <f t="shared" ca="1" si="17"/>
        <v>d8</v>
      </c>
      <c r="L102">
        <f t="shared" ca="1" si="18"/>
        <v>87.38</v>
      </c>
      <c r="M102">
        <f ca="1">_xlfn.RANK.EQ(Table1[[#This Row],[Average]],Table1[Average])</f>
        <v>85</v>
      </c>
      <c r="O102">
        <f ca="1">INDEX(Table1[],MATCH(ROWS(Table1[]) - (ROW()-4),Table1[Rank], 0), 4)</f>
        <v>82</v>
      </c>
      <c r="P102">
        <f ca="1">INDEX(Table1[],MATCH(ROWS(Table1[]) - (ROW()-4),Table1[Rank], 0), 1)</f>
        <v>27</v>
      </c>
      <c r="Q102" t="str">
        <f ca="1">INDEX(Table1[],MATCH(ROWS(Table1[]) - (ROW()-4),Table1[Rank], 0), 2)</f>
        <v>d4</v>
      </c>
      <c r="R102">
        <f ca="1">INDEX(Table1[],MATCH(ROWS(Table1[]) - (ROW()-4),Table1[Rank], 0), 3)</f>
        <v>89.91</v>
      </c>
    </row>
    <row r="103" spans="10:19" x14ac:dyDescent="0.25">
      <c r="J103" s="1">
        <f t="shared" si="16"/>
        <v>17</v>
      </c>
      <c r="K103" s="2" t="str">
        <f t="shared" ca="1" si="17"/>
        <v>d10</v>
      </c>
      <c r="L103">
        <f t="shared" ca="1" si="18"/>
        <v>103.87</v>
      </c>
      <c r="M103">
        <f ca="1">_xlfn.RANK.EQ(Table1[[#This Row],[Average]],Table1[Average])</f>
        <v>67</v>
      </c>
      <c r="O103">
        <f ca="1">INDEX(Table1[],MATCH(ROWS(Table1[]) - (ROW()-4),Table1[Rank], 0), 4)</f>
        <v>81</v>
      </c>
      <c r="P103">
        <f ca="1">INDEX(Table1[],MATCH(ROWS(Table1[]) - (ROW()-4),Table1[Rank], 0), 1)</f>
        <v>15</v>
      </c>
      <c r="Q103" t="str">
        <f ca="1">INDEX(Table1[],MATCH(ROWS(Table1[]) - (ROW()-4),Table1[Rank], 0), 2)</f>
        <v>d10</v>
      </c>
      <c r="R103">
        <f ca="1">INDEX(Table1[],MATCH(ROWS(Table1[]) - (ROW()-4),Table1[Rank], 0), 3)</f>
        <v>91.65</v>
      </c>
    </row>
    <row r="104" spans="10:19" x14ac:dyDescent="0.25">
      <c r="J104" s="1">
        <f t="shared" si="16"/>
        <v>17</v>
      </c>
      <c r="K104" s="2" t="str">
        <f t="shared" ca="1" si="17"/>
        <v>d12</v>
      </c>
      <c r="L104">
        <f t="shared" ca="1" si="18"/>
        <v>120.53</v>
      </c>
      <c r="M104">
        <f ca="1">_xlfn.RANK.EQ(Table1[[#This Row],[Average]],Table1[Average])</f>
        <v>54</v>
      </c>
      <c r="O104">
        <f ca="1">INDEX(Table1[],MATCH(ROWS(Table1[]) - (ROW()-4),Table1[Rank], 0), 4)</f>
        <v>80</v>
      </c>
      <c r="P104">
        <f ca="1">INDEX(Table1[],MATCH(ROWS(Table1[]) - (ROW()-4),Table1[Rank], 0), 1)</f>
        <v>13</v>
      </c>
      <c r="Q104" t="str">
        <f ca="1">INDEX(Table1[],MATCH(ROWS(Table1[]) - (ROW()-4),Table1[Rank], 0), 2)</f>
        <v>d12</v>
      </c>
      <c r="R104">
        <f ca="1">INDEX(Table1[],MATCH(ROWS(Table1[]) - (ROW()-4),Table1[Rank], 0), 3)</f>
        <v>92.17</v>
      </c>
    </row>
    <row r="105" spans="10:19" x14ac:dyDescent="0.25">
      <c r="J105" s="1">
        <f t="shared" si="16"/>
        <v>17</v>
      </c>
      <c r="K105" s="2" t="str">
        <f t="shared" ca="1" si="17"/>
        <v>d20</v>
      </c>
      <c r="L105">
        <f t="shared" ca="1" si="18"/>
        <v>187.85000000000002</v>
      </c>
      <c r="M105">
        <f ca="1">_xlfn.RANK.EQ(Table1[[#This Row],[Average]],Table1[Average])</f>
        <v>18</v>
      </c>
      <c r="O105">
        <f ca="1">INDEX(Table1[],MATCH(ROWS(Table1[]) - (ROW()-4),Table1[Rank], 0), 4)</f>
        <v>79</v>
      </c>
      <c r="P105">
        <f ca="1">INDEX(Table1[],MATCH(ROWS(Table1[]) - (ROW()-4),Table1[Rank], 0), 1)</f>
        <v>22</v>
      </c>
      <c r="Q105" t="str">
        <f ca="1">INDEX(Table1[],MATCH(ROWS(Table1[]) - (ROW()-4),Table1[Rank], 0), 2)</f>
        <v>d6</v>
      </c>
      <c r="R105">
        <f ca="1">INDEX(Table1[],MATCH(ROWS(Table1[]) - (ROW()-4),Table1[Rank], 0), 3)</f>
        <v>92.4</v>
      </c>
    </row>
    <row r="106" spans="10:19" x14ac:dyDescent="0.25">
      <c r="J106" s="1">
        <f t="shared" si="16"/>
        <v>18</v>
      </c>
      <c r="K106" s="2" t="str">
        <f t="shared" ca="1" si="17"/>
        <v>d4</v>
      </c>
      <c r="L106">
        <f t="shared" ca="1" si="18"/>
        <v>59.94</v>
      </c>
      <c r="M106">
        <f ca="1">_xlfn.RANK.EQ(Table1[[#This Row],[Average]],Table1[Average])</f>
        <v>116</v>
      </c>
      <c r="O106">
        <f ca="1">INDEX(Table1[],MATCH(ROWS(Table1[]) - (ROW()-4),Table1[Rank], 0), 4)</f>
        <v>78</v>
      </c>
      <c r="P106">
        <f ca="1">INDEX(Table1[],MATCH(ROWS(Table1[]) - (ROW()-4),Table1[Rank], 0), 1)</f>
        <v>18</v>
      </c>
      <c r="Q106" t="str">
        <f ca="1">INDEX(Table1[],MATCH(ROWS(Table1[]) - (ROW()-4),Table1[Rank], 0), 2)</f>
        <v>d8</v>
      </c>
      <c r="R106">
        <f ca="1">INDEX(Table1[],MATCH(ROWS(Table1[]) - (ROW()-4),Table1[Rank], 0), 3)</f>
        <v>92.52</v>
      </c>
    </row>
    <row r="107" spans="10:19" x14ac:dyDescent="0.25">
      <c r="J107" s="1">
        <f t="shared" si="16"/>
        <v>18</v>
      </c>
      <c r="K107" s="2" t="str">
        <f t="shared" ca="1" si="17"/>
        <v>d6</v>
      </c>
      <c r="L107">
        <f t="shared" ca="1" si="18"/>
        <v>75.600000000000009</v>
      </c>
      <c r="M107">
        <f ca="1">_xlfn.RANK.EQ(Table1[[#This Row],[Average]],Table1[Average])</f>
        <v>99</v>
      </c>
      <c r="O107">
        <f ca="1">INDEX(Table1[],MATCH(ROWS(Table1[]) - (ROW()-4),Table1[Rank], 0), 4)</f>
        <v>77</v>
      </c>
      <c r="P107">
        <f ca="1">INDEX(Table1[],MATCH(ROWS(Table1[]) - (ROW()-4),Table1[Rank], 0), 1)</f>
        <v>28</v>
      </c>
      <c r="Q107" t="str">
        <f ca="1">INDEX(Table1[],MATCH(ROWS(Table1[]) - (ROW()-4),Table1[Rank], 0), 2)</f>
        <v>d4</v>
      </c>
      <c r="R107">
        <f ca="1">INDEX(Table1[],MATCH(ROWS(Table1[]) - (ROW()-4),Table1[Rank], 0), 3)</f>
        <v>93.240000000000009</v>
      </c>
    </row>
    <row r="108" spans="10:19" x14ac:dyDescent="0.25">
      <c r="J108" s="1">
        <f t="shared" si="16"/>
        <v>18</v>
      </c>
      <c r="K108" s="2" t="str">
        <f t="shared" ca="1" si="17"/>
        <v>d8</v>
      </c>
      <c r="L108">
        <f t="shared" ca="1" si="18"/>
        <v>92.52</v>
      </c>
      <c r="M108">
        <f ca="1">_xlfn.RANK.EQ(Table1[[#This Row],[Average]],Table1[Average])</f>
        <v>78</v>
      </c>
      <c r="O108">
        <f ca="1">INDEX(Table1[],MATCH(ROWS(Table1[]) - (ROW()-4),Table1[Rank], 0), 4)</f>
        <v>76</v>
      </c>
      <c r="P108">
        <f ca="1">INDEX(Table1[],MATCH(ROWS(Table1[]) - (ROW()-4),Table1[Rank], 0), 1)</f>
        <v>29</v>
      </c>
      <c r="Q108" t="str">
        <f ca="1">INDEX(Table1[],MATCH(ROWS(Table1[]) - (ROW()-4),Table1[Rank], 0), 2)</f>
        <v>d4</v>
      </c>
      <c r="R108">
        <f ca="1">INDEX(Table1[],MATCH(ROWS(Table1[]) - (ROW()-4),Table1[Rank], 0), 3)</f>
        <v>96.570000000000007</v>
      </c>
    </row>
    <row r="109" spans="10:19" x14ac:dyDescent="0.25">
      <c r="J109" s="1">
        <f t="shared" si="16"/>
        <v>18</v>
      </c>
      <c r="K109" s="2" t="str">
        <f t="shared" ca="1" si="17"/>
        <v>d10</v>
      </c>
      <c r="L109">
        <f t="shared" ca="1" si="18"/>
        <v>109.98</v>
      </c>
      <c r="M109">
        <f ca="1">_xlfn.RANK.EQ(Table1[[#This Row],[Average]],Table1[Average])</f>
        <v>62</v>
      </c>
      <c r="O109">
        <f ca="1">INDEX(Table1[],MATCH(ROWS(Table1[]) - (ROW()-4),Table1[Rank], 0), 4)</f>
        <v>75</v>
      </c>
      <c r="P109">
        <f ca="1">INDEX(Table1[],MATCH(ROWS(Table1[]) - (ROW()-4),Table1[Rank], 0), 1)</f>
        <v>23</v>
      </c>
      <c r="Q109" t="str">
        <f ca="1">INDEX(Table1[],MATCH(ROWS(Table1[]) - (ROW()-4),Table1[Rank], 0), 2)</f>
        <v>d6</v>
      </c>
      <c r="R109">
        <f ca="1">INDEX(Table1[],MATCH(ROWS(Table1[]) - (ROW()-4),Table1[Rank], 0), 3)</f>
        <v>96.600000000000009</v>
      </c>
      <c r="S109" t="s">
        <v>17</v>
      </c>
    </row>
    <row r="110" spans="10:19" x14ac:dyDescent="0.25">
      <c r="J110" s="16">
        <f t="shared" si="16"/>
        <v>18</v>
      </c>
      <c r="K110" s="2" t="str">
        <f t="shared" ca="1" si="17"/>
        <v>d12</v>
      </c>
      <c r="L110" s="17">
        <f t="shared" ca="1" si="18"/>
        <v>127.62</v>
      </c>
      <c r="M110">
        <f ca="1">_xlfn.RANK.EQ(Table1[[#This Row],[Average]],Table1[Average])</f>
        <v>48</v>
      </c>
      <c r="O110">
        <f ca="1">INDEX(Table1[],MATCH(ROWS(Table1[]) - (ROW()-4),Table1[Rank], 0), 4)</f>
        <v>74</v>
      </c>
      <c r="P110">
        <f ca="1">INDEX(Table1[],MATCH(ROWS(Table1[]) - (ROW()-4),Table1[Rank], 0), 1)</f>
        <v>19</v>
      </c>
      <c r="Q110" t="str">
        <f ca="1">INDEX(Table1[],MATCH(ROWS(Table1[]) - (ROW()-4),Table1[Rank], 0), 2)</f>
        <v>d8</v>
      </c>
      <c r="R110">
        <f ca="1">INDEX(Table1[],MATCH(ROWS(Table1[]) - (ROW()-4),Table1[Rank], 0), 3)</f>
        <v>97.66</v>
      </c>
    </row>
    <row r="111" spans="10:19" x14ac:dyDescent="0.25">
      <c r="J111" s="16">
        <f t="shared" si="16"/>
        <v>18</v>
      </c>
      <c r="K111" s="2" t="str">
        <f t="shared" ca="1" si="17"/>
        <v>d20</v>
      </c>
      <c r="L111" s="17">
        <f t="shared" ca="1" si="18"/>
        <v>198.9</v>
      </c>
      <c r="M111">
        <f ca="1">_xlfn.RANK.EQ(Table1[[#This Row],[Average]],Table1[Average])</f>
        <v>15</v>
      </c>
      <c r="O111">
        <f ca="1">INDEX(Table1[],MATCH(ROWS(Table1[]) - (ROW()-4),Table1[Rank], 0), 4)</f>
        <v>73</v>
      </c>
      <c r="P111">
        <f ca="1">INDEX(Table1[],MATCH(ROWS(Table1[]) - (ROW()-4),Table1[Rank], 0), 1)</f>
        <v>16</v>
      </c>
      <c r="Q111" t="str">
        <f ca="1">INDEX(Table1[],MATCH(ROWS(Table1[]) - (ROW()-4),Table1[Rank], 0), 2)</f>
        <v>d10</v>
      </c>
      <c r="R111">
        <f ca="1">INDEX(Table1[],MATCH(ROWS(Table1[]) - (ROW()-4),Table1[Rank], 0), 3)</f>
        <v>97.76</v>
      </c>
    </row>
    <row r="112" spans="10:19" x14ac:dyDescent="0.25">
      <c r="J112" s="16">
        <f t="shared" si="16"/>
        <v>19</v>
      </c>
      <c r="K112" s="2" t="str">
        <f t="shared" ca="1" si="17"/>
        <v>d4</v>
      </c>
      <c r="L112" s="17">
        <f t="shared" ca="1" si="18"/>
        <v>63.27</v>
      </c>
      <c r="M112">
        <f ca="1">_xlfn.RANK.EQ(Table1[[#This Row],[Average]],Table1[Average])</f>
        <v>112</v>
      </c>
      <c r="O112">
        <f ca="1">INDEX(Table1[],MATCH(ROWS(Table1[]) - (ROW()-4),Table1[Rank], 0), 4)</f>
        <v>72</v>
      </c>
      <c r="P112">
        <f ca="1">INDEX(Table1[],MATCH(ROWS(Table1[]) - (ROW()-4),Table1[Rank], 0), 1)</f>
        <v>14</v>
      </c>
      <c r="Q112" t="str">
        <f ca="1">INDEX(Table1[],MATCH(ROWS(Table1[]) - (ROW()-4),Table1[Rank], 0), 2)</f>
        <v>d12</v>
      </c>
      <c r="R112">
        <f ca="1">INDEX(Table1[],MATCH(ROWS(Table1[]) - (ROW()-4),Table1[Rank], 0), 3)</f>
        <v>99.259999999999991</v>
      </c>
    </row>
    <row r="113" spans="10:18" x14ac:dyDescent="0.25">
      <c r="J113" s="16">
        <f t="shared" si="16"/>
        <v>19</v>
      </c>
      <c r="K113" s="2" t="str">
        <f t="shared" ca="1" si="17"/>
        <v>d6</v>
      </c>
      <c r="L113" s="17">
        <f t="shared" ca="1" si="18"/>
        <v>79.8</v>
      </c>
      <c r="M113">
        <f ca="1">_xlfn.RANK.EQ(Table1[[#This Row],[Average]],Table1[Average])</f>
        <v>93</v>
      </c>
      <c r="O113">
        <f ca="1">INDEX(Table1[],MATCH(ROWS(Table1[]) - (ROW()-4),Table1[Rank], 0), 4)</f>
        <v>71</v>
      </c>
      <c r="P113">
        <f ca="1">INDEX(Table1[],MATCH(ROWS(Table1[]) - (ROW()-4),Table1[Rank], 0), 1)</f>
        <v>9</v>
      </c>
      <c r="Q113" t="str">
        <f ca="1">INDEX(Table1[],MATCH(ROWS(Table1[]) - (ROW()-4),Table1[Rank], 0), 2)</f>
        <v>d20</v>
      </c>
      <c r="R113">
        <f ca="1">INDEX(Table1[],MATCH(ROWS(Table1[]) - (ROW()-4),Table1[Rank], 0), 3)</f>
        <v>99.45</v>
      </c>
    </row>
    <row r="114" spans="10:18" x14ac:dyDescent="0.25">
      <c r="J114" s="1">
        <f t="shared" si="16"/>
        <v>19</v>
      </c>
      <c r="K114" s="2" t="str">
        <f t="shared" ca="1" si="17"/>
        <v>d8</v>
      </c>
      <c r="L114">
        <f t="shared" ca="1" si="18"/>
        <v>97.66</v>
      </c>
      <c r="M114">
        <f ca="1">_xlfn.RANK.EQ(Table1[[#This Row],[Average]],Table1[Average])</f>
        <v>74</v>
      </c>
      <c r="O114">
        <f ca="1">INDEX(Table1[],MATCH(ROWS(Table1[]) - (ROW()-4),Table1[Rank], 0), 4)</f>
        <v>70</v>
      </c>
      <c r="P114">
        <f ca="1">INDEX(Table1[],MATCH(ROWS(Table1[]) - (ROW()-4),Table1[Rank], 0), 1)</f>
        <v>30</v>
      </c>
      <c r="Q114" t="str">
        <f ca="1">INDEX(Table1[],MATCH(ROWS(Table1[]) - (ROW()-4),Table1[Rank], 0), 2)</f>
        <v>d4</v>
      </c>
      <c r="R114">
        <f ca="1">INDEX(Table1[],MATCH(ROWS(Table1[]) - (ROW()-4),Table1[Rank], 0), 3)</f>
        <v>99.9</v>
      </c>
    </row>
    <row r="115" spans="10:18" x14ac:dyDescent="0.25">
      <c r="J115" s="16">
        <f t="shared" si="16"/>
        <v>19</v>
      </c>
      <c r="K115" s="2" t="str">
        <f t="shared" ca="1" si="17"/>
        <v>d10</v>
      </c>
      <c r="L115" s="17">
        <f t="shared" ca="1" si="18"/>
        <v>116.09</v>
      </c>
      <c r="M115">
        <f ca="1">_xlfn.RANK.EQ(Table1[[#This Row],[Average]],Table1[Average])</f>
        <v>57</v>
      </c>
      <c r="O115">
        <f ca="1">INDEX(Table1[],MATCH(ROWS(Table1[]) - (ROW()-4),Table1[Rank], 0), 4)</f>
        <v>69</v>
      </c>
      <c r="P115">
        <f ca="1">INDEX(Table1[],MATCH(ROWS(Table1[]) - (ROW()-4),Table1[Rank], 0), 1)</f>
        <v>24</v>
      </c>
      <c r="Q115" t="str">
        <f ca="1">INDEX(Table1[],MATCH(ROWS(Table1[]) - (ROW()-4),Table1[Rank], 0), 2)</f>
        <v>d6</v>
      </c>
      <c r="R115">
        <f ca="1">INDEX(Table1[],MATCH(ROWS(Table1[]) - (ROW()-4),Table1[Rank], 0), 3)</f>
        <v>100.80000000000001</v>
      </c>
    </row>
    <row r="116" spans="10:18" x14ac:dyDescent="0.25">
      <c r="J116" s="16">
        <f t="shared" si="16"/>
        <v>19</v>
      </c>
      <c r="K116" s="2" t="str">
        <f t="shared" ca="1" si="17"/>
        <v>d12</v>
      </c>
      <c r="L116" s="17">
        <f t="shared" ca="1" si="18"/>
        <v>134.71</v>
      </c>
      <c r="M116">
        <f ca="1">_xlfn.RANK.EQ(Table1[[#This Row],[Average]],Table1[Average])</f>
        <v>42</v>
      </c>
      <c r="O116">
        <f ca="1">INDEX(Table1[],MATCH(ROWS(Table1[]) - (ROW()-4),Table1[Rank], 0), 4)</f>
        <v>68</v>
      </c>
      <c r="P116">
        <f ca="1">INDEX(Table1[],MATCH(ROWS(Table1[]) - (ROW()-4),Table1[Rank], 0), 1)</f>
        <v>20</v>
      </c>
      <c r="Q116" t="str">
        <f ca="1">INDEX(Table1[],MATCH(ROWS(Table1[]) - (ROW()-4),Table1[Rank], 0), 2)</f>
        <v>d8</v>
      </c>
      <c r="R116">
        <f ca="1">INDEX(Table1[],MATCH(ROWS(Table1[]) - (ROW()-4),Table1[Rank], 0), 3)</f>
        <v>102.8</v>
      </c>
    </row>
    <row r="117" spans="10:18" x14ac:dyDescent="0.25">
      <c r="J117" s="16">
        <f t="shared" si="16"/>
        <v>19</v>
      </c>
      <c r="K117" s="2" t="str">
        <f t="shared" ca="1" si="17"/>
        <v>d20</v>
      </c>
      <c r="L117" s="17">
        <f t="shared" ca="1" si="18"/>
        <v>209.95000000000002</v>
      </c>
      <c r="M117">
        <f ca="1">_xlfn.RANK.EQ(Table1[[#This Row],[Average]],Table1[Average])</f>
        <v>13</v>
      </c>
      <c r="O117">
        <f ca="1">INDEX(Table1[],MATCH(ROWS(Table1[]) - (ROW()-4),Table1[Rank], 0), 4)</f>
        <v>67</v>
      </c>
      <c r="P117">
        <f ca="1">INDEX(Table1[],MATCH(ROWS(Table1[]) - (ROW()-4),Table1[Rank], 0), 1)</f>
        <v>17</v>
      </c>
      <c r="Q117" t="str">
        <f ca="1">INDEX(Table1[],MATCH(ROWS(Table1[]) - (ROW()-4),Table1[Rank], 0), 2)</f>
        <v>d10</v>
      </c>
      <c r="R117">
        <f ca="1">INDEX(Table1[],MATCH(ROWS(Table1[]) - (ROW()-4),Table1[Rank], 0), 3)</f>
        <v>103.87</v>
      </c>
    </row>
    <row r="118" spans="10:18" x14ac:dyDescent="0.25">
      <c r="J118" s="1">
        <f t="shared" si="16"/>
        <v>20</v>
      </c>
      <c r="K118" s="2" t="str">
        <f t="shared" ca="1" si="17"/>
        <v>d4</v>
      </c>
      <c r="L118">
        <f t="shared" ca="1" si="18"/>
        <v>66.599999999999994</v>
      </c>
      <c r="M118">
        <f ca="1">_xlfn.RANK.EQ(Table1[[#This Row],[Average]],Table1[Average])</f>
        <v>109</v>
      </c>
      <c r="O118">
        <f ca="1">INDEX(Table1[],MATCH(ROWS(Table1[]) - (ROW()-4),Table1[Rank], 0), 4)</f>
        <v>66</v>
      </c>
      <c r="P118">
        <f ca="1">INDEX(Table1[],MATCH(ROWS(Table1[]) - (ROW()-4),Table1[Rank], 0), 1)</f>
        <v>25</v>
      </c>
      <c r="Q118" t="str">
        <f ca="1">INDEX(Table1[],MATCH(ROWS(Table1[]) - (ROW()-4),Table1[Rank], 0), 2)</f>
        <v>d6</v>
      </c>
      <c r="R118">
        <f ca="1">INDEX(Table1[],MATCH(ROWS(Table1[]) - (ROW()-4),Table1[Rank], 0), 3)</f>
        <v>105</v>
      </c>
    </row>
    <row r="119" spans="10:18" x14ac:dyDescent="0.25">
      <c r="J119" s="16">
        <f t="shared" si="16"/>
        <v>20</v>
      </c>
      <c r="K119" s="2" t="str">
        <f t="shared" ca="1" si="17"/>
        <v>d6</v>
      </c>
      <c r="L119" s="17">
        <f t="shared" ca="1" si="18"/>
        <v>84</v>
      </c>
      <c r="M119">
        <f ca="1">_xlfn.RANK.EQ(Table1[[#This Row],[Average]],Table1[Average])</f>
        <v>89</v>
      </c>
      <c r="O119">
        <f ca="1">INDEX(Table1[],MATCH(ROWS(Table1[]) - (ROW()-4),Table1[Rank], 0), 4)</f>
        <v>65</v>
      </c>
      <c r="P119">
        <f ca="1">INDEX(Table1[],MATCH(ROWS(Table1[]) - (ROW()-4),Table1[Rank], 0), 1)</f>
        <v>15</v>
      </c>
      <c r="Q119" t="str">
        <f ca="1">INDEX(Table1[],MATCH(ROWS(Table1[]) - (ROW()-4),Table1[Rank], 0), 2)</f>
        <v>d12</v>
      </c>
      <c r="R119">
        <f ca="1">INDEX(Table1[],MATCH(ROWS(Table1[]) - (ROW()-4),Table1[Rank], 0), 3)</f>
        <v>106.35</v>
      </c>
    </row>
    <row r="120" spans="10:18" x14ac:dyDescent="0.25">
      <c r="J120" s="1">
        <f t="shared" si="16"/>
        <v>20</v>
      </c>
      <c r="K120" s="2" t="str">
        <f t="shared" ca="1" si="17"/>
        <v>d8</v>
      </c>
      <c r="L120">
        <f t="shared" ca="1" si="18"/>
        <v>102.8</v>
      </c>
      <c r="M120">
        <f ca="1">_xlfn.RANK.EQ(Table1[[#This Row],[Average]],Table1[Average])</f>
        <v>68</v>
      </c>
      <c r="O120">
        <f ca="1">INDEX(Table1[],MATCH(ROWS(Table1[]) - (ROW()-4),Table1[Rank], 0), 4)</f>
        <v>64</v>
      </c>
      <c r="P120">
        <f ca="1">INDEX(Table1[],MATCH(ROWS(Table1[]) - (ROW()-4),Table1[Rank], 0), 1)</f>
        <v>21</v>
      </c>
      <c r="Q120" t="str">
        <f ca="1">INDEX(Table1[],MATCH(ROWS(Table1[]) - (ROW()-4),Table1[Rank], 0), 2)</f>
        <v>d8</v>
      </c>
      <c r="R120">
        <f ca="1">INDEX(Table1[],MATCH(ROWS(Table1[]) - (ROW()-4),Table1[Rank], 0), 3)</f>
        <v>107.94</v>
      </c>
    </row>
    <row r="121" spans="10:18" x14ac:dyDescent="0.25">
      <c r="J121" s="1">
        <f t="shared" si="16"/>
        <v>20</v>
      </c>
      <c r="K121" s="2" t="str">
        <f t="shared" ca="1" si="17"/>
        <v>d10</v>
      </c>
      <c r="L121">
        <f t="shared" ca="1" si="18"/>
        <v>122.2</v>
      </c>
      <c r="M121">
        <f ca="1">_xlfn.RANK.EQ(Table1[[#This Row],[Average]],Table1[Average])</f>
        <v>51</v>
      </c>
      <c r="O121">
        <f ca="1">INDEX(Table1[],MATCH(ROWS(Table1[]) - (ROW()-4),Table1[Rank], 0), 4)</f>
        <v>63</v>
      </c>
      <c r="P121">
        <f ca="1">INDEX(Table1[],MATCH(ROWS(Table1[]) - (ROW()-4),Table1[Rank], 0), 1)</f>
        <v>26</v>
      </c>
      <c r="Q121" t="str">
        <f ca="1">INDEX(Table1[],MATCH(ROWS(Table1[]) - (ROW()-4),Table1[Rank], 0), 2)</f>
        <v>d6</v>
      </c>
      <c r="R121">
        <f ca="1">INDEX(Table1[],MATCH(ROWS(Table1[]) - (ROW()-4),Table1[Rank], 0), 3)</f>
        <v>109.2</v>
      </c>
    </row>
    <row r="122" spans="10:18" x14ac:dyDescent="0.25">
      <c r="J122" s="16">
        <f t="shared" si="16"/>
        <v>20</v>
      </c>
      <c r="K122" s="2" t="str">
        <f t="shared" ca="1" si="17"/>
        <v>d12</v>
      </c>
      <c r="L122" s="17">
        <f t="shared" ca="1" si="18"/>
        <v>141.80000000000001</v>
      </c>
      <c r="M122">
        <f ca="1">_xlfn.RANK.EQ(Table1[[#This Row],[Average]],Table1[Average])</f>
        <v>39</v>
      </c>
      <c r="O122">
        <f ca="1">INDEX(Table1[],MATCH(ROWS(Table1[]) - (ROW()-4),Table1[Rank], 0), 4)</f>
        <v>62</v>
      </c>
      <c r="P122">
        <f ca="1">INDEX(Table1[],MATCH(ROWS(Table1[]) - (ROW()-4),Table1[Rank], 0), 1)</f>
        <v>18</v>
      </c>
      <c r="Q122" t="str">
        <f ca="1">INDEX(Table1[],MATCH(ROWS(Table1[]) - (ROW()-4),Table1[Rank], 0), 2)</f>
        <v>d10</v>
      </c>
      <c r="R122">
        <f ca="1">INDEX(Table1[],MATCH(ROWS(Table1[]) - (ROW()-4),Table1[Rank], 0), 3)</f>
        <v>109.98</v>
      </c>
    </row>
    <row r="123" spans="10:18" x14ac:dyDescent="0.25">
      <c r="J123" s="1">
        <f t="shared" si="16"/>
        <v>20</v>
      </c>
      <c r="K123" s="2" t="str">
        <f t="shared" ca="1" si="17"/>
        <v>d20</v>
      </c>
      <c r="L123">
        <f t="shared" ca="1" si="18"/>
        <v>221</v>
      </c>
      <c r="M123">
        <f ca="1">_xlfn.RANK.EQ(Table1[[#This Row],[Average]],Table1[Average])</f>
        <v>11</v>
      </c>
      <c r="O123">
        <f ca="1">INDEX(Table1[],MATCH(ROWS(Table1[]) - (ROW()-4),Table1[Rank], 0), 4)</f>
        <v>61</v>
      </c>
      <c r="P123">
        <f ca="1">INDEX(Table1[],MATCH(ROWS(Table1[]) - (ROW()-4),Table1[Rank], 0), 1)</f>
        <v>10</v>
      </c>
      <c r="Q123" t="str">
        <f ca="1">INDEX(Table1[],MATCH(ROWS(Table1[]) - (ROW()-4),Table1[Rank], 0), 2)</f>
        <v>d20</v>
      </c>
      <c r="R123">
        <f ca="1">INDEX(Table1[],MATCH(ROWS(Table1[]) - (ROW()-4),Table1[Rank], 0), 3)</f>
        <v>110.5</v>
      </c>
    </row>
    <row r="124" spans="10:18" x14ac:dyDescent="0.25">
      <c r="J124" s="1">
        <f t="shared" si="16"/>
        <v>21</v>
      </c>
      <c r="K124" s="2" t="str">
        <f t="shared" ca="1" si="17"/>
        <v>d4</v>
      </c>
      <c r="L124">
        <f t="shared" ca="1" si="18"/>
        <v>69.930000000000007</v>
      </c>
      <c r="M124">
        <f ca="1">_xlfn.RANK.EQ(Table1[[#This Row],[Average]],Table1[Average])</f>
        <v>105</v>
      </c>
      <c r="O124">
        <f ca="1">INDEX(Table1[],MATCH(ROWS(Table1[]) - (ROW()-4),Table1[Rank], 0), 4)</f>
        <v>60</v>
      </c>
      <c r="P124">
        <f ca="1">INDEX(Table1[],MATCH(ROWS(Table1[]) - (ROW()-4),Table1[Rank], 0), 1)</f>
        <v>22</v>
      </c>
      <c r="Q124" t="str">
        <f ca="1">INDEX(Table1[],MATCH(ROWS(Table1[]) - (ROW()-4),Table1[Rank], 0), 2)</f>
        <v>d8</v>
      </c>
      <c r="R124">
        <f ca="1">INDEX(Table1[],MATCH(ROWS(Table1[]) - (ROW()-4),Table1[Rank], 0), 3)</f>
        <v>113.08</v>
      </c>
    </row>
    <row r="125" spans="10:18" x14ac:dyDescent="0.25">
      <c r="J125" s="1">
        <f t="shared" si="16"/>
        <v>21</v>
      </c>
      <c r="K125" s="2" t="str">
        <f t="shared" ca="1" si="17"/>
        <v>d6</v>
      </c>
      <c r="L125">
        <f t="shared" ca="1" si="18"/>
        <v>88.2</v>
      </c>
      <c r="M125">
        <f ca="1">_xlfn.RANK.EQ(Table1[[#This Row],[Average]],Table1[Average])</f>
        <v>84</v>
      </c>
      <c r="O125">
        <f ca="1">INDEX(Table1[],MATCH(ROWS(Table1[]) - (ROW()-4),Table1[Rank], 0), 4)</f>
        <v>59</v>
      </c>
      <c r="P125">
        <f ca="1">INDEX(Table1[],MATCH(ROWS(Table1[]) - (ROW()-4),Table1[Rank], 0), 1)</f>
        <v>27</v>
      </c>
      <c r="Q125" t="str">
        <f ca="1">INDEX(Table1[],MATCH(ROWS(Table1[]) - (ROW()-4),Table1[Rank], 0), 2)</f>
        <v>d6</v>
      </c>
      <c r="R125">
        <f ca="1">INDEX(Table1[],MATCH(ROWS(Table1[]) - (ROW()-4),Table1[Rank], 0), 3)</f>
        <v>113.4</v>
      </c>
    </row>
    <row r="126" spans="10:18" x14ac:dyDescent="0.25">
      <c r="J126" s="16">
        <f t="shared" si="16"/>
        <v>21</v>
      </c>
      <c r="K126" s="2" t="str">
        <f t="shared" ca="1" si="17"/>
        <v>d8</v>
      </c>
      <c r="L126" s="17">
        <f t="shared" ca="1" si="18"/>
        <v>107.94</v>
      </c>
      <c r="M126">
        <f ca="1">_xlfn.RANK.EQ(Table1[[#This Row],[Average]],Table1[Average])</f>
        <v>64</v>
      </c>
      <c r="O126">
        <f ca="1">INDEX(Table1[],MATCH(ROWS(Table1[]) - (ROW()-4),Table1[Rank], 0), 4)</f>
        <v>58</v>
      </c>
      <c r="P126">
        <f ca="1">INDEX(Table1[],MATCH(ROWS(Table1[]) - (ROW()-4),Table1[Rank], 0), 1)</f>
        <v>16</v>
      </c>
      <c r="Q126" t="str">
        <f ca="1">INDEX(Table1[],MATCH(ROWS(Table1[]) - (ROW()-4),Table1[Rank], 0), 2)</f>
        <v>d12</v>
      </c>
      <c r="R126">
        <f ca="1">INDEX(Table1[],MATCH(ROWS(Table1[]) - (ROW()-4),Table1[Rank], 0), 3)</f>
        <v>113.44</v>
      </c>
    </row>
    <row r="127" spans="10:18" x14ac:dyDescent="0.25">
      <c r="J127" s="16">
        <f t="shared" si="16"/>
        <v>21</v>
      </c>
      <c r="K127" s="2" t="str">
        <f t="shared" ca="1" si="17"/>
        <v>d10</v>
      </c>
      <c r="L127" s="17">
        <f t="shared" ca="1" si="18"/>
        <v>128.31</v>
      </c>
      <c r="M127">
        <f ca="1">_xlfn.RANK.EQ(Table1[[#This Row],[Average]],Table1[Average])</f>
        <v>47</v>
      </c>
      <c r="O127">
        <f ca="1">INDEX(Table1[],MATCH(ROWS(Table1[]) - (ROW()-4),Table1[Rank], 0), 4)</f>
        <v>57</v>
      </c>
      <c r="P127">
        <f ca="1">INDEX(Table1[],MATCH(ROWS(Table1[]) - (ROW()-4),Table1[Rank], 0), 1)</f>
        <v>19</v>
      </c>
      <c r="Q127" t="str">
        <f ca="1">INDEX(Table1[],MATCH(ROWS(Table1[]) - (ROW()-4),Table1[Rank], 0), 2)</f>
        <v>d10</v>
      </c>
      <c r="R127">
        <f ca="1">INDEX(Table1[],MATCH(ROWS(Table1[]) - (ROW()-4),Table1[Rank], 0), 3)</f>
        <v>116.09</v>
      </c>
    </row>
    <row r="128" spans="10:18" x14ac:dyDescent="0.25">
      <c r="J128" s="16">
        <f t="shared" si="16"/>
        <v>21</v>
      </c>
      <c r="K128" s="2" t="str">
        <f t="shared" ca="1" si="17"/>
        <v>d12</v>
      </c>
      <c r="L128" s="17">
        <f t="shared" ca="1" si="18"/>
        <v>148.88999999999999</v>
      </c>
      <c r="M128">
        <f ca="1">_xlfn.RANK.EQ(Table1[[#This Row],[Average]],Table1[Average])</f>
        <v>35</v>
      </c>
      <c r="O128">
        <f ca="1">INDEX(Table1[],MATCH(ROWS(Table1[]) - (ROW()-4),Table1[Rank], 0), 4)</f>
        <v>56</v>
      </c>
      <c r="P128">
        <f ca="1">INDEX(Table1[],MATCH(ROWS(Table1[]) - (ROW()-4),Table1[Rank], 0), 1)</f>
        <v>28</v>
      </c>
      <c r="Q128" t="str">
        <f ca="1">INDEX(Table1[],MATCH(ROWS(Table1[]) - (ROW()-4),Table1[Rank], 0), 2)</f>
        <v>d6</v>
      </c>
      <c r="R128">
        <f ca="1">INDEX(Table1[],MATCH(ROWS(Table1[]) - (ROW()-4),Table1[Rank], 0), 3)</f>
        <v>117.60000000000001</v>
      </c>
    </row>
    <row r="129" spans="10:18" x14ac:dyDescent="0.25">
      <c r="J129" s="16">
        <f t="shared" si="16"/>
        <v>21</v>
      </c>
      <c r="K129" s="2" t="str">
        <f t="shared" ca="1" si="17"/>
        <v>d20</v>
      </c>
      <c r="L129" s="17">
        <f t="shared" ca="1" si="18"/>
        <v>232.05</v>
      </c>
      <c r="M129">
        <f ca="1">_xlfn.RANK.EQ(Table1[[#This Row],[Average]],Table1[Average])</f>
        <v>10</v>
      </c>
      <c r="O129">
        <f ca="1">INDEX(Table1[],MATCH(ROWS(Table1[]) - (ROW()-4),Table1[Rank], 0), 4)</f>
        <v>55</v>
      </c>
      <c r="P129">
        <f ca="1">INDEX(Table1[],MATCH(ROWS(Table1[]) - (ROW()-4),Table1[Rank], 0), 1)</f>
        <v>23</v>
      </c>
      <c r="Q129" t="str">
        <f ca="1">INDEX(Table1[],MATCH(ROWS(Table1[]) - (ROW()-4),Table1[Rank], 0), 2)</f>
        <v>d8</v>
      </c>
      <c r="R129">
        <f ca="1">INDEX(Table1[],MATCH(ROWS(Table1[]) - (ROW()-4),Table1[Rank], 0), 3)</f>
        <v>118.22</v>
      </c>
    </row>
    <row r="130" spans="10:18" x14ac:dyDescent="0.25">
      <c r="J130" s="16">
        <f t="shared" si="16"/>
        <v>22</v>
      </c>
      <c r="K130" s="2" t="str">
        <f t="shared" ca="1" si="17"/>
        <v>d4</v>
      </c>
      <c r="L130" s="17">
        <f t="shared" ca="1" si="18"/>
        <v>73.260000000000005</v>
      </c>
      <c r="M130">
        <f ca="1">_xlfn.RANK.EQ(Table1[[#This Row],[Average]],Table1[Average])</f>
        <v>101</v>
      </c>
      <c r="O130">
        <f ca="1">INDEX(Table1[],MATCH(ROWS(Table1[]) - (ROW()-4),Table1[Rank], 0), 4)</f>
        <v>54</v>
      </c>
      <c r="P130">
        <f ca="1">INDEX(Table1[],MATCH(ROWS(Table1[]) - (ROW()-4),Table1[Rank], 0), 1)</f>
        <v>17</v>
      </c>
      <c r="Q130" t="str">
        <f ca="1">INDEX(Table1[],MATCH(ROWS(Table1[]) - (ROW()-4),Table1[Rank], 0), 2)</f>
        <v>d12</v>
      </c>
      <c r="R130">
        <f ca="1">INDEX(Table1[],MATCH(ROWS(Table1[]) - (ROW()-4),Table1[Rank], 0), 3)</f>
        <v>120.53</v>
      </c>
    </row>
    <row r="131" spans="10:18" x14ac:dyDescent="0.25">
      <c r="J131" s="1">
        <f t="shared" si="16"/>
        <v>22</v>
      </c>
      <c r="K131" s="2" t="str">
        <f t="shared" ca="1" si="17"/>
        <v>d6</v>
      </c>
      <c r="L131">
        <f t="shared" ca="1" si="18"/>
        <v>92.4</v>
      </c>
      <c r="M131">
        <f ca="1">_xlfn.RANK.EQ(Table1[[#This Row],[Average]],Table1[Average])</f>
        <v>79</v>
      </c>
      <c r="O131">
        <f ca="1">INDEX(Table1[],MATCH(ROWS(Table1[]) - (ROW()-4),Table1[Rank], 0), 4)</f>
        <v>53</v>
      </c>
      <c r="P131">
        <f ca="1">INDEX(Table1[],MATCH(ROWS(Table1[]) - (ROW()-4),Table1[Rank], 0), 1)</f>
        <v>11</v>
      </c>
      <c r="Q131" t="str">
        <f ca="1">INDEX(Table1[],MATCH(ROWS(Table1[]) - (ROW()-4),Table1[Rank], 0), 2)</f>
        <v>d20</v>
      </c>
      <c r="R131">
        <f ca="1">INDEX(Table1[],MATCH(ROWS(Table1[]) - (ROW()-4),Table1[Rank], 0), 3)</f>
        <v>121.55000000000001</v>
      </c>
    </row>
    <row r="132" spans="10:18" x14ac:dyDescent="0.25">
      <c r="J132" s="1">
        <f t="shared" ref="J132:J163" si="19">(ROW(J132)-4 -MOD(ROW(J132)-4,6))/6+1</f>
        <v>22</v>
      </c>
      <c r="K132" s="2" t="str">
        <f t="shared" ref="K132:K163" ca="1" si="20">IF(MOD(ROW(INDIRECT("J"&amp;ROW()))-4,6) = 0, "d4", IF(MOD(ROW(INDIRECT("J"&amp;ROW()))-4,6) = 1, "d6", IF(MOD(ROW(INDIRECT("J"&amp;ROW()))-4,6) = 2, "d8", IF(MOD(ROW(INDIRECT("J"&amp;ROW()))-4,6) = 3, "d10", IF(MOD(ROW(INDIRECT("J"&amp;ROW()))-4,6) = 4, "d12", IF(MOD(ROW(INDIRECT("J"&amp;ROW()))-4,6) = 5, "d20", ))))))</f>
        <v>d8</v>
      </c>
      <c r="L132">
        <f t="shared" ref="L132:L163" ca="1" si="21">INDEX(diceAverages, INDIRECT("J"&amp;ROW()), IF(INDIRECT("K"&amp;ROW()) = "d4", 1,  IF(INDIRECT("K"&amp;ROW()) = "d6", 2,  IF(INDIRECT("K"&amp;ROW()) = "d8", 3,  IF(INDIRECT("K"&amp;ROW()) = "d10", 4, IF(INDIRECT("K"&amp;ROW()) = "d12", 5, IF(INDIRECT("K"&amp;ROW()) = "d20", 6, "ERROR")))))))</f>
        <v>113.08</v>
      </c>
      <c r="M132">
        <f ca="1">_xlfn.RANK.EQ(Table1[[#This Row],[Average]],Table1[Average])</f>
        <v>60</v>
      </c>
      <c r="O132">
        <f ca="1">INDEX(Table1[],MATCH(ROWS(Table1[]) - (ROW()-4),Table1[Rank], 0), 4)</f>
        <v>52</v>
      </c>
      <c r="P132">
        <f ca="1">INDEX(Table1[],MATCH(ROWS(Table1[]) - (ROW()-4),Table1[Rank], 0), 1)</f>
        <v>29</v>
      </c>
      <c r="Q132" t="str">
        <f ca="1">INDEX(Table1[],MATCH(ROWS(Table1[]) - (ROW()-4),Table1[Rank], 0), 2)</f>
        <v>d6</v>
      </c>
      <c r="R132">
        <f ca="1">INDEX(Table1[],MATCH(ROWS(Table1[]) - (ROW()-4),Table1[Rank], 0), 3)</f>
        <v>121.80000000000001</v>
      </c>
    </row>
    <row r="133" spans="10:18" x14ac:dyDescent="0.25">
      <c r="J133" s="1">
        <f t="shared" si="19"/>
        <v>22</v>
      </c>
      <c r="K133" s="2" t="str">
        <f t="shared" ca="1" si="20"/>
        <v>d10</v>
      </c>
      <c r="L133">
        <f t="shared" ca="1" si="21"/>
        <v>134.42000000000002</v>
      </c>
      <c r="M133">
        <f ca="1">_xlfn.RANK.EQ(Table1[[#This Row],[Average]],Table1[Average])</f>
        <v>43</v>
      </c>
      <c r="O133">
        <f ca="1">INDEX(Table1[],MATCH(ROWS(Table1[]) - (ROW()-4),Table1[Rank], 0), 4)</f>
        <v>51</v>
      </c>
      <c r="P133">
        <f ca="1">INDEX(Table1[],MATCH(ROWS(Table1[]) - (ROW()-4),Table1[Rank], 0), 1)</f>
        <v>20</v>
      </c>
      <c r="Q133" t="str">
        <f ca="1">INDEX(Table1[],MATCH(ROWS(Table1[]) - (ROW()-4),Table1[Rank], 0), 2)</f>
        <v>d10</v>
      </c>
      <c r="R133">
        <f ca="1">INDEX(Table1[],MATCH(ROWS(Table1[]) - (ROW()-4),Table1[Rank], 0), 3)</f>
        <v>122.2</v>
      </c>
    </row>
    <row r="134" spans="10:18" x14ac:dyDescent="0.25">
      <c r="J134" s="1">
        <f t="shared" si="19"/>
        <v>22</v>
      </c>
      <c r="K134" s="2" t="str">
        <f t="shared" ca="1" si="20"/>
        <v>d12</v>
      </c>
      <c r="L134">
        <f t="shared" ca="1" si="21"/>
        <v>155.97999999999999</v>
      </c>
      <c r="M134">
        <f ca="1">_xlfn.RANK.EQ(Table1[[#This Row],[Average]],Table1[Average])</f>
        <v>30</v>
      </c>
      <c r="O134">
        <f ca="1">INDEX(Table1[],MATCH(ROWS(Table1[]) - (ROW()-4),Table1[Rank], 0), 4)</f>
        <v>50</v>
      </c>
      <c r="P134">
        <f ca="1">INDEX(Table1[],MATCH(ROWS(Table1[]) - (ROW()-4),Table1[Rank], 0), 1)</f>
        <v>24</v>
      </c>
      <c r="Q134" t="str">
        <f ca="1">INDEX(Table1[],MATCH(ROWS(Table1[]) - (ROW()-4),Table1[Rank], 0), 2)</f>
        <v>d8</v>
      </c>
      <c r="R134">
        <f ca="1">INDEX(Table1[],MATCH(ROWS(Table1[]) - (ROW()-4),Table1[Rank], 0), 3)</f>
        <v>123.35999999999999</v>
      </c>
    </row>
    <row r="135" spans="10:18" x14ac:dyDescent="0.25">
      <c r="J135" s="16">
        <f t="shared" si="19"/>
        <v>22</v>
      </c>
      <c r="K135" s="2" t="str">
        <f t="shared" ca="1" si="20"/>
        <v>d20</v>
      </c>
      <c r="L135" s="17">
        <f t="shared" ca="1" si="21"/>
        <v>243.10000000000002</v>
      </c>
      <c r="M135">
        <f ca="1">_xlfn.RANK.EQ(Table1[[#This Row],[Average]],Table1[Average])</f>
        <v>9</v>
      </c>
      <c r="O135">
        <f ca="1">INDEX(Table1[],MATCH(ROWS(Table1[]) - (ROW()-4),Table1[Rank], 0), 4)</f>
        <v>49</v>
      </c>
      <c r="P135">
        <f ca="1">INDEX(Table1[],MATCH(ROWS(Table1[]) - (ROW()-4),Table1[Rank], 0), 1)</f>
        <v>30</v>
      </c>
      <c r="Q135" t="str">
        <f ca="1">INDEX(Table1[],MATCH(ROWS(Table1[]) - (ROW()-4),Table1[Rank], 0), 2)</f>
        <v>d6</v>
      </c>
      <c r="R135">
        <f ca="1">INDEX(Table1[],MATCH(ROWS(Table1[]) - (ROW()-4),Table1[Rank], 0), 3)</f>
        <v>126</v>
      </c>
    </row>
    <row r="136" spans="10:18" x14ac:dyDescent="0.25">
      <c r="J136" s="1">
        <f t="shared" si="19"/>
        <v>23</v>
      </c>
      <c r="K136" s="2" t="str">
        <f t="shared" ca="1" si="20"/>
        <v>d4</v>
      </c>
      <c r="L136">
        <f t="shared" ca="1" si="21"/>
        <v>76.59</v>
      </c>
      <c r="M136">
        <f ca="1">_xlfn.RANK.EQ(Table1[[#This Row],[Average]],Table1[Average])</f>
        <v>98</v>
      </c>
      <c r="O136">
        <f ca="1">INDEX(Table1[],MATCH(ROWS(Table1[]) - (ROW()-4),Table1[Rank], 0), 4)</f>
        <v>48</v>
      </c>
      <c r="P136">
        <f ca="1">INDEX(Table1[],MATCH(ROWS(Table1[]) - (ROW()-4),Table1[Rank], 0), 1)</f>
        <v>18</v>
      </c>
      <c r="Q136" t="str">
        <f ca="1">INDEX(Table1[],MATCH(ROWS(Table1[]) - (ROW()-4),Table1[Rank], 0), 2)</f>
        <v>d12</v>
      </c>
      <c r="R136">
        <f ca="1">INDEX(Table1[],MATCH(ROWS(Table1[]) - (ROW()-4),Table1[Rank], 0), 3)</f>
        <v>127.62</v>
      </c>
    </row>
    <row r="137" spans="10:18" x14ac:dyDescent="0.25">
      <c r="J137" s="16">
        <f t="shared" si="19"/>
        <v>23</v>
      </c>
      <c r="K137" s="2" t="str">
        <f t="shared" ca="1" si="20"/>
        <v>d6</v>
      </c>
      <c r="L137" s="17">
        <f t="shared" ca="1" si="21"/>
        <v>96.600000000000009</v>
      </c>
      <c r="M137">
        <f ca="1">_xlfn.RANK.EQ(Table1[[#This Row],[Average]],Table1[Average])</f>
        <v>75</v>
      </c>
      <c r="O137">
        <f ca="1">INDEX(Table1[],MATCH(ROWS(Table1[]) - (ROW()-4),Table1[Rank], 0), 4)</f>
        <v>47</v>
      </c>
      <c r="P137">
        <f ca="1">INDEX(Table1[],MATCH(ROWS(Table1[]) - (ROW()-4),Table1[Rank], 0), 1)</f>
        <v>21</v>
      </c>
      <c r="Q137" t="str">
        <f ca="1">INDEX(Table1[],MATCH(ROWS(Table1[]) - (ROW()-4),Table1[Rank], 0), 2)</f>
        <v>d10</v>
      </c>
      <c r="R137">
        <f ca="1">INDEX(Table1[],MATCH(ROWS(Table1[]) - (ROW()-4),Table1[Rank], 0), 3)</f>
        <v>128.31</v>
      </c>
    </row>
    <row r="138" spans="10:18" x14ac:dyDescent="0.25">
      <c r="J138" s="1">
        <f t="shared" si="19"/>
        <v>23</v>
      </c>
      <c r="K138" s="2" t="str">
        <f t="shared" ca="1" si="20"/>
        <v>d8</v>
      </c>
      <c r="L138">
        <f t="shared" ca="1" si="21"/>
        <v>118.22</v>
      </c>
      <c r="M138">
        <f ca="1">_xlfn.RANK.EQ(Table1[[#This Row],[Average]],Table1[Average])</f>
        <v>55</v>
      </c>
      <c r="O138">
        <f ca="1">INDEX(Table1[],MATCH(ROWS(Table1[]) - (ROW()-4),Table1[Rank], 0), 4)</f>
        <v>46</v>
      </c>
      <c r="P138">
        <f ca="1">INDEX(Table1[],MATCH(ROWS(Table1[]) - (ROW()-4),Table1[Rank], 0), 1)</f>
        <v>25</v>
      </c>
      <c r="Q138" t="str">
        <f ca="1">INDEX(Table1[],MATCH(ROWS(Table1[]) - (ROW()-4),Table1[Rank], 0), 2)</f>
        <v>d8</v>
      </c>
      <c r="R138">
        <f ca="1">INDEX(Table1[],MATCH(ROWS(Table1[]) - (ROW()-4),Table1[Rank], 0), 3)</f>
        <v>128.5</v>
      </c>
    </row>
    <row r="139" spans="10:18" x14ac:dyDescent="0.25">
      <c r="J139" s="1">
        <f t="shared" si="19"/>
        <v>23</v>
      </c>
      <c r="K139" s="2" t="str">
        <f t="shared" ca="1" si="20"/>
        <v>d10</v>
      </c>
      <c r="L139">
        <f t="shared" ca="1" si="21"/>
        <v>140.53</v>
      </c>
      <c r="M139">
        <f ca="1">_xlfn.RANK.EQ(Table1[[#This Row],[Average]],Table1[Average])</f>
        <v>40</v>
      </c>
      <c r="O139">
        <f ca="1">INDEX(Table1[],MATCH(ROWS(Table1[]) - (ROW()-4),Table1[Rank], 0), 4)</f>
        <v>45</v>
      </c>
      <c r="P139">
        <f ca="1">INDEX(Table1[],MATCH(ROWS(Table1[]) - (ROW()-4),Table1[Rank], 0), 1)</f>
        <v>12</v>
      </c>
      <c r="Q139" t="str">
        <f ca="1">INDEX(Table1[],MATCH(ROWS(Table1[]) - (ROW()-4),Table1[Rank], 0), 2)</f>
        <v>d20</v>
      </c>
      <c r="R139">
        <f ca="1">INDEX(Table1[],MATCH(ROWS(Table1[]) - (ROW()-4),Table1[Rank], 0), 3)</f>
        <v>132.60000000000002</v>
      </c>
    </row>
    <row r="140" spans="10:18" x14ac:dyDescent="0.25">
      <c r="J140" s="16">
        <f t="shared" si="19"/>
        <v>23</v>
      </c>
      <c r="K140" s="2" t="str">
        <f t="shared" ca="1" si="20"/>
        <v>d12</v>
      </c>
      <c r="L140" s="17">
        <f t="shared" ca="1" si="21"/>
        <v>163.07</v>
      </c>
      <c r="M140">
        <f ca="1">_xlfn.RANK.EQ(Table1[[#This Row],[Average]],Table1[Average])</f>
        <v>28</v>
      </c>
      <c r="O140">
        <f ca="1">INDEX(Table1[],MATCH(ROWS(Table1[]) - (ROW()-4),Table1[Rank], 0), 4)</f>
        <v>44</v>
      </c>
      <c r="P140">
        <f ca="1">INDEX(Table1[],MATCH(ROWS(Table1[]) - (ROW()-4),Table1[Rank], 0), 1)</f>
        <v>26</v>
      </c>
      <c r="Q140" t="str">
        <f ca="1">INDEX(Table1[],MATCH(ROWS(Table1[]) - (ROW()-4),Table1[Rank], 0), 2)</f>
        <v>d8</v>
      </c>
      <c r="R140">
        <f ca="1">INDEX(Table1[],MATCH(ROWS(Table1[]) - (ROW()-4),Table1[Rank], 0), 3)</f>
        <v>133.63999999999999</v>
      </c>
    </row>
    <row r="141" spans="10:18" x14ac:dyDescent="0.25">
      <c r="J141" s="1">
        <f t="shared" si="19"/>
        <v>23</v>
      </c>
      <c r="K141" s="2" t="str">
        <f t="shared" ca="1" si="20"/>
        <v>d20</v>
      </c>
      <c r="L141">
        <f t="shared" ca="1" si="21"/>
        <v>254.15</v>
      </c>
      <c r="M141">
        <f ca="1">_xlfn.RANK.EQ(Table1[[#This Row],[Average]],Table1[Average])</f>
        <v>8</v>
      </c>
      <c r="O141">
        <f ca="1">INDEX(Table1[],MATCH(ROWS(Table1[]) - (ROW()-4),Table1[Rank], 0), 4)</f>
        <v>43</v>
      </c>
      <c r="P141">
        <f ca="1">INDEX(Table1[],MATCH(ROWS(Table1[]) - (ROW()-4),Table1[Rank], 0), 1)</f>
        <v>22</v>
      </c>
      <c r="Q141" t="str">
        <f ca="1">INDEX(Table1[],MATCH(ROWS(Table1[]) - (ROW()-4),Table1[Rank], 0), 2)</f>
        <v>d10</v>
      </c>
      <c r="R141">
        <f ca="1">INDEX(Table1[],MATCH(ROWS(Table1[]) - (ROW()-4),Table1[Rank], 0), 3)</f>
        <v>134.42000000000002</v>
      </c>
    </row>
    <row r="142" spans="10:18" x14ac:dyDescent="0.25">
      <c r="J142" s="16">
        <f t="shared" si="19"/>
        <v>24</v>
      </c>
      <c r="K142" s="2" t="str">
        <f t="shared" ca="1" si="20"/>
        <v>d4</v>
      </c>
      <c r="L142" s="17">
        <f t="shared" ca="1" si="21"/>
        <v>79.92</v>
      </c>
      <c r="M142">
        <f ca="1">_xlfn.RANK.EQ(Table1[[#This Row],[Average]],Table1[Average])</f>
        <v>92</v>
      </c>
      <c r="O142">
        <f ca="1">INDEX(Table1[],MATCH(ROWS(Table1[]) - (ROW()-4),Table1[Rank], 0), 4)</f>
        <v>42</v>
      </c>
      <c r="P142">
        <f ca="1">INDEX(Table1[],MATCH(ROWS(Table1[]) - (ROW()-4),Table1[Rank], 0), 1)</f>
        <v>19</v>
      </c>
      <c r="Q142" t="str">
        <f ca="1">INDEX(Table1[],MATCH(ROWS(Table1[]) - (ROW()-4),Table1[Rank], 0), 2)</f>
        <v>d12</v>
      </c>
      <c r="R142">
        <f ca="1">INDEX(Table1[],MATCH(ROWS(Table1[]) - (ROW()-4),Table1[Rank], 0), 3)</f>
        <v>134.71</v>
      </c>
    </row>
    <row r="143" spans="10:18" x14ac:dyDescent="0.25">
      <c r="J143" s="1">
        <f t="shared" si="19"/>
        <v>24</v>
      </c>
      <c r="K143" s="2" t="str">
        <f t="shared" ca="1" si="20"/>
        <v>d6</v>
      </c>
      <c r="L143">
        <f t="shared" ca="1" si="21"/>
        <v>100.80000000000001</v>
      </c>
      <c r="M143">
        <f ca="1">_xlfn.RANK.EQ(Table1[[#This Row],[Average]],Table1[Average])</f>
        <v>69</v>
      </c>
      <c r="O143">
        <f ca="1">INDEX(Table1[],MATCH(ROWS(Table1[]) - (ROW()-4),Table1[Rank], 0), 4)</f>
        <v>41</v>
      </c>
      <c r="P143">
        <f ca="1">INDEX(Table1[],MATCH(ROWS(Table1[]) - (ROW()-4),Table1[Rank], 0), 1)</f>
        <v>27</v>
      </c>
      <c r="Q143" t="str">
        <f ca="1">INDEX(Table1[],MATCH(ROWS(Table1[]) - (ROW()-4),Table1[Rank], 0), 2)</f>
        <v>d8</v>
      </c>
      <c r="R143">
        <f ca="1">INDEX(Table1[],MATCH(ROWS(Table1[]) - (ROW()-4),Table1[Rank], 0), 3)</f>
        <v>138.78</v>
      </c>
    </row>
    <row r="144" spans="10:18" x14ac:dyDescent="0.25">
      <c r="J144" s="1">
        <f t="shared" si="19"/>
        <v>24</v>
      </c>
      <c r="K144" s="2" t="str">
        <f t="shared" ca="1" si="20"/>
        <v>d8</v>
      </c>
      <c r="L144">
        <f t="shared" ca="1" si="21"/>
        <v>123.35999999999999</v>
      </c>
      <c r="M144">
        <f ca="1">_xlfn.RANK.EQ(Table1[[#This Row],[Average]],Table1[Average])</f>
        <v>50</v>
      </c>
      <c r="O144">
        <f ca="1">INDEX(Table1[],MATCH(ROWS(Table1[]) - (ROW()-4),Table1[Rank], 0), 4)</f>
        <v>40</v>
      </c>
      <c r="P144">
        <f ca="1">INDEX(Table1[],MATCH(ROWS(Table1[]) - (ROW()-4),Table1[Rank], 0), 1)</f>
        <v>23</v>
      </c>
      <c r="Q144" t="str">
        <f ca="1">INDEX(Table1[],MATCH(ROWS(Table1[]) - (ROW()-4),Table1[Rank], 0), 2)</f>
        <v>d10</v>
      </c>
      <c r="R144">
        <f ca="1">INDEX(Table1[],MATCH(ROWS(Table1[]) - (ROW()-4),Table1[Rank], 0), 3)</f>
        <v>140.53</v>
      </c>
    </row>
    <row r="145" spans="10:18" x14ac:dyDescent="0.25">
      <c r="J145" s="1">
        <f t="shared" si="19"/>
        <v>24</v>
      </c>
      <c r="K145" s="2" t="str">
        <f t="shared" ca="1" si="20"/>
        <v>d10</v>
      </c>
      <c r="L145">
        <f t="shared" ca="1" si="21"/>
        <v>146.64000000000001</v>
      </c>
      <c r="M145">
        <f ca="1">_xlfn.RANK.EQ(Table1[[#This Row],[Average]],Table1[Average])</f>
        <v>36</v>
      </c>
      <c r="O145">
        <f ca="1">INDEX(Table1[],MATCH(ROWS(Table1[]) - (ROW()-4),Table1[Rank], 0), 4)</f>
        <v>39</v>
      </c>
      <c r="P145">
        <f ca="1">INDEX(Table1[],MATCH(ROWS(Table1[]) - (ROW()-4),Table1[Rank], 0), 1)</f>
        <v>20</v>
      </c>
      <c r="Q145" t="str">
        <f ca="1">INDEX(Table1[],MATCH(ROWS(Table1[]) - (ROW()-4),Table1[Rank], 0), 2)</f>
        <v>d12</v>
      </c>
      <c r="R145">
        <f ca="1">INDEX(Table1[],MATCH(ROWS(Table1[]) - (ROW()-4),Table1[Rank], 0), 3)</f>
        <v>141.80000000000001</v>
      </c>
    </row>
    <row r="146" spans="10:18" x14ac:dyDescent="0.25">
      <c r="J146" s="1">
        <f t="shared" si="19"/>
        <v>24</v>
      </c>
      <c r="K146" s="2" t="str">
        <f t="shared" ca="1" si="20"/>
        <v>d12</v>
      </c>
      <c r="L146">
        <f t="shared" ca="1" si="21"/>
        <v>170.16</v>
      </c>
      <c r="M146">
        <f ca="1">_xlfn.RANK.EQ(Table1[[#This Row],[Average]],Table1[Average])</f>
        <v>25</v>
      </c>
      <c r="O146">
        <f ca="1">INDEX(Table1[],MATCH(ROWS(Table1[]) - (ROW()-4),Table1[Rank], 0), 4)</f>
        <v>38</v>
      </c>
      <c r="P146">
        <f ca="1">INDEX(Table1[],MATCH(ROWS(Table1[]) - (ROW()-4),Table1[Rank], 0), 1)</f>
        <v>13</v>
      </c>
      <c r="Q146" t="str">
        <f ca="1">INDEX(Table1[],MATCH(ROWS(Table1[]) - (ROW()-4),Table1[Rank], 0), 2)</f>
        <v>d20</v>
      </c>
      <c r="R146">
        <f ca="1">INDEX(Table1[],MATCH(ROWS(Table1[]) - (ROW()-4),Table1[Rank], 0), 3)</f>
        <v>143.65</v>
      </c>
    </row>
    <row r="147" spans="10:18" x14ac:dyDescent="0.25">
      <c r="J147" s="1">
        <f t="shared" si="19"/>
        <v>24</v>
      </c>
      <c r="K147" s="2" t="str">
        <f t="shared" ca="1" si="20"/>
        <v>d20</v>
      </c>
      <c r="L147">
        <f t="shared" ca="1" si="21"/>
        <v>265.20000000000005</v>
      </c>
      <c r="M147">
        <f ca="1">_xlfn.RANK.EQ(Table1[[#This Row],[Average]],Table1[Average])</f>
        <v>7</v>
      </c>
      <c r="O147">
        <f ca="1">INDEX(Table1[],MATCH(ROWS(Table1[]) - (ROW()-4),Table1[Rank], 0), 4)</f>
        <v>37</v>
      </c>
      <c r="P147">
        <f ca="1">INDEX(Table1[],MATCH(ROWS(Table1[]) - (ROW()-4),Table1[Rank], 0), 1)</f>
        <v>28</v>
      </c>
      <c r="Q147" t="str">
        <f ca="1">INDEX(Table1[],MATCH(ROWS(Table1[]) - (ROW()-4),Table1[Rank], 0), 2)</f>
        <v>d8</v>
      </c>
      <c r="R147">
        <f ca="1">INDEX(Table1[],MATCH(ROWS(Table1[]) - (ROW()-4),Table1[Rank], 0), 3)</f>
        <v>143.91999999999999</v>
      </c>
    </row>
    <row r="148" spans="10:18" x14ac:dyDescent="0.25">
      <c r="J148" s="16">
        <f t="shared" si="19"/>
        <v>25</v>
      </c>
      <c r="K148" s="2" t="str">
        <f t="shared" ca="1" si="20"/>
        <v>d4</v>
      </c>
      <c r="L148" s="17">
        <f t="shared" ca="1" si="21"/>
        <v>83.25</v>
      </c>
      <c r="M148">
        <f ca="1">_xlfn.RANK.EQ(Table1[[#This Row],[Average]],Table1[Average])</f>
        <v>90</v>
      </c>
      <c r="O148">
        <f ca="1">INDEX(Table1[],MATCH(ROWS(Table1[]) - (ROW()-4),Table1[Rank], 0), 4)</f>
        <v>36</v>
      </c>
      <c r="P148">
        <f ca="1">INDEX(Table1[],MATCH(ROWS(Table1[]) - (ROW()-4),Table1[Rank], 0), 1)</f>
        <v>24</v>
      </c>
      <c r="Q148" t="str">
        <f ca="1">INDEX(Table1[],MATCH(ROWS(Table1[]) - (ROW()-4),Table1[Rank], 0), 2)</f>
        <v>d10</v>
      </c>
      <c r="R148">
        <f ca="1">INDEX(Table1[],MATCH(ROWS(Table1[]) - (ROW()-4),Table1[Rank], 0), 3)</f>
        <v>146.64000000000001</v>
      </c>
    </row>
    <row r="149" spans="10:18" x14ac:dyDescent="0.25">
      <c r="J149" s="16">
        <f t="shared" si="19"/>
        <v>25</v>
      </c>
      <c r="K149" s="2" t="str">
        <f t="shared" ca="1" si="20"/>
        <v>d6</v>
      </c>
      <c r="L149" s="17">
        <f t="shared" ca="1" si="21"/>
        <v>105</v>
      </c>
      <c r="M149">
        <f ca="1">_xlfn.RANK.EQ(Table1[[#This Row],[Average]],Table1[Average])</f>
        <v>66</v>
      </c>
      <c r="O149">
        <f ca="1">INDEX(Table1[],MATCH(ROWS(Table1[]) - (ROW()-4),Table1[Rank], 0), 4)</f>
        <v>35</v>
      </c>
      <c r="P149">
        <f ca="1">INDEX(Table1[],MATCH(ROWS(Table1[]) - (ROW()-4),Table1[Rank], 0), 1)</f>
        <v>21</v>
      </c>
      <c r="Q149" t="str">
        <f ca="1">INDEX(Table1[],MATCH(ROWS(Table1[]) - (ROW()-4),Table1[Rank], 0), 2)</f>
        <v>d12</v>
      </c>
      <c r="R149">
        <f ca="1">INDEX(Table1[],MATCH(ROWS(Table1[]) - (ROW()-4),Table1[Rank], 0), 3)</f>
        <v>148.88999999999999</v>
      </c>
    </row>
    <row r="150" spans="10:18" x14ac:dyDescent="0.25">
      <c r="J150" s="1">
        <f t="shared" si="19"/>
        <v>25</v>
      </c>
      <c r="K150" s="2" t="str">
        <f t="shared" ca="1" si="20"/>
        <v>d8</v>
      </c>
      <c r="L150">
        <f t="shared" ca="1" si="21"/>
        <v>128.5</v>
      </c>
      <c r="M150">
        <f ca="1">_xlfn.RANK.EQ(Table1[[#This Row],[Average]],Table1[Average])</f>
        <v>46</v>
      </c>
      <c r="O150">
        <f ca="1">INDEX(Table1[],MATCH(ROWS(Table1[]) - (ROW()-4),Table1[Rank], 0), 4)</f>
        <v>34</v>
      </c>
      <c r="P150">
        <f ca="1">INDEX(Table1[],MATCH(ROWS(Table1[]) - (ROW()-4),Table1[Rank], 0), 1)</f>
        <v>29</v>
      </c>
      <c r="Q150" t="str">
        <f ca="1">INDEX(Table1[],MATCH(ROWS(Table1[]) - (ROW()-4),Table1[Rank], 0), 2)</f>
        <v>d8</v>
      </c>
      <c r="R150">
        <f ca="1">INDEX(Table1[],MATCH(ROWS(Table1[]) - (ROW()-4),Table1[Rank], 0), 3)</f>
        <v>149.06</v>
      </c>
    </row>
    <row r="151" spans="10:18" x14ac:dyDescent="0.25">
      <c r="J151" s="1">
        <f t="shared" si="19"/>
        <v>25</v>
      </c>
      <c r="K151" s="2" t="str">
        <f t="shared" ca="1" si="20"/>
        <v>d10</v>
      </c>
      <c r="L151">
        <f t="shared" ca="1" si="21"/>
        <v>152.75</v>
      </c>
      <c r="M151">
        <f ca="1">_xlfn.RANK.EQ(Table1[[#This Row],[Average]],Table1[Average])</f>
        <v>33</v>
      </c>
      <c r="O151">
        <f ca="1">INDEX(Table1[],MATCH(ROWS(Table1[]) - (ROW()-4),Table1[Rank], 0), 4)</f>
        <v>33</v>
      </c>
      <c r="P151">
        <f ca="1">INDEX(Table1[],MATCH(ROWS(Table1[]) - (ROW()-4),Table1[Rank], 0), 1)</f>
        <v>25</v>
      </c>
      <c r="Q151" t="str">
        <f ca="1">INDEX(Table1[],MATCH(ROWS(Table1[]) - (ROW()-4),Table1[Rank], 0), 2)</f>
        <v>d10</v>
      </c>
      <c r="R151">
        <f ca="1">INDEX(Table1[],MATCH(ROWS(Table1[]) - (ROW()-4),Table1[Rank], 0), 3)</f>
        <v>152.75</v>
      </c>
    </row>
    <row r="152" spans="10:18" x14ac:dyDescent="0.25">
      <c r="J152" s="1">
        <f t="shared" si="19"/>
        <v>25</v>
      </c>
      <c r="K152" s="2" t="str">
        <f t="shared" ca="1" si="20"/>
        <v>d12</v>
      </c>
      <c r="L152">
        <f t="shared" ca="1" si="21"/>
        <v>177.25</v>
      </c>
      <c r="M152">
        <f ca="1">_xlfn.RANK.EQ(Table1[[#This Row],[Average]],Table1[Average])</f>
        <v>21</v>
      </c>
      <c r="O152">
        <f ca="1">INDEX(Table1[],MATCH(ROWS(Table1[]) - (ROW()-4),Table1[Rank], 0), 4)</f>
        <v>32</v>
      </c>
      <c r="P152">
        <f ca="1">INDEX(Table1[],MATCH(ROWS(Table1[]) - (ROW()-4),Table1[Rank], 0), 1)</f>
        <v>30</v>
      </c>
      <c r="Q152" t="str">
        <f ca="1">INDEX(Table1[],MATCH(ROWS(Table1[]) - (ROW()-4),Table1[Rank], 0), 2)</f>
        <v>d8</v>
      </c>
      <c r="R152">
        <f ca="1">INDEX(Table1[],MATCH(ROWS(Table1[]) - (ROW()-4),Table1[Rank], 0), 3)</f>
        <v>154.19999999999999</v>
      </c>
    </row>
    <row r="153" spans="10:18" x14ac:dyDescent="0.25">
      <c r="J153" s="16">
        <f t="shared" si="19"/>
        <v>25</v>
      </c>
      <c r="K153" s="2" t="str">
        <f t="shared" ca="1" si="20"/>
        <v>d20</v>
      </c>
      <c r="L153" s="17">
        <f t="shared" ca="1" si="21"/>
        <v>276.25</v>
      </c>
      <c r="M153">
        <f ca="1">_xlfn.RANK.EQ(Table1[[#This Row],[Average]],Table1[Average])</f>
        <v>6</v>
      </c>
      <c r="O153">
        <f ca="1">INDEX(Table1[],MATCH(ROWS(Table1[]) - (ROW()-4),Table1[Rank], 0), 4)</f>
        <v>31</v>
      </c>
      <c r="P153">
        <f ca="1">INDEX(Table1[],MATCH(ROWS(Table1[]) - (ROW()-4),Table1[Rank], 0), 1)</f>
        <v>14</v>
      </c>
      <c r="Q153" t="str">
        <f ca="1">INDEX(Table1[],MATCH(ROWS(Table1[]) - (ROW()-4),Table1[Rank], 0), 2)</f>
        <v>d20</v>
      </c>
      <c r="R153">
        <f ca="1">INDEX(Table1[],MATCH(ROWS(Table1[]) - (ROW()-4),Table1[Rank], 0), 3)</f>
        <v>154.70000000000002</v>
      </c>
    </row>
    <row r="154" spans="10:18" x14ac:dyDescent="0.25">
      <c r="J154" s="1">
        <f t="shared" si="19"/>
        <v>26</v>
      </c>
      <c r="K154" s="2" t="str">
        <f t="shared" ca="1" si="20"/>
        <v>d4</v>
      </c>
      <c r="L154">
        <f t="shared" ca="1" si="21"/>
        <v>86.58</v>
      </c>
      <c r="M154">
        <f ca="1">_xlfn.RANK.EQ(Table1[[#This Row],[Average]],Table1[Average])</f>
        <v>86</v>
      </c>
      <c r="O154">
        <f ca="1">INDEX(Table1[],MATCH(ROWS(Table1[]) - (ROW()-4),Table1[Rank], 0), 4)</f>
        <v>30</v>
      </c>
      <c r="P154">
        <f ca="1">INDEX(Table1[],MATCH(ROWS(Table1[]) - (ROW()-4),Table1[Rank], 0), 1)</f>
        <v>22</v>
      </c>
      <c r="Q154" t="str">
        <f ca="1">INDEX(Table1[],MATCH(ROWS(Table1[]) - (ROW()-4),Table1[Rank], 0), 2)</f>
        <v>d12</v>
      </c>
      <c r="R154">
        <f ca="1">INDEX(Table1[],MATCH(ROWS(Table1[]) - (ROW()-4),Table1[Rank], 0), 3)</f>
        <v>155.97999999999999</v>
      </c>
    </row>
    <row r="155" spans="10:18" x14ac:dyDescent="0.25">
      <c r="J155" s="1">
        <f t="shared" si="19"/>
        <v>26</v>
      </c>
      <c r="K155" s="2" t="str">
        <f t="shared" ca="1" si="20"/>
        <v>d6</v>
      </c>
      <c r="L155">
        <f t="shared" ca="1" si="21"/>
        <v>109.2</v>
      </c>
      <c r="M155">
        <f ca="1">_xlfn.RANK.EQ(Table1[[#This Row],[Average]],Table1[Average])</f>
        <v>63</v>
      </c>
      <c r="O155">
        <f ca="1">INDEX(Table1[],MATCH(ROWS(Table1[]) - (ROW()-4),Table1[Rank], 0), 4)</f>
        <v>29</v>
      </c>
      <c r="P155">
        <f ca="1">INDEX(Table1[],MATCH(ROWS(Table1[]) - (ROW()-4),Table1[Rank], 0), 1)</f>
        <v>26</v>
      </c>
      <c r="Q155" t="str">
        <f ca="1">INDEX(Table1[],MATCH(ROWS(Table1[]) - (ROW()-4),Table1[Rank], 0), 2)</f>
        <v>d10</v>
      </c>
      <c r="R155">
        <f ca="1">INDEX(Table1[],MATCH(ROWS(Table1[]) - (ROW()-4),Table1[Rank], 0), 3)</f>
        <v>158.86000000000001</v>
      </c>
    </row>
    <row r="156" spans="10:18" x14ac:dyDescent="0.25">
      <c r="J156" s="1">
        <f t="shared" si="19"/>
        <v>26</v>
      </c>
      <c r="K156" s="2" t="str">
        <f t="shared" ca="1" si="20"/>
        <v>d8</v>
      </c>
      <c r="L156">
        <f t="shared" ca="1" si="21"/>
        <v>133.63999999999999</v>
      </c>
      <c r="M156">
        <f ca="1">_xlfn.RANK.EQ(Table1[[#This Row],[Average]],Table1[Average])</f>
        <v>44</v>
      </c>
      <c r="O156">
        <f ca="1">INDEX(Table1[],MATCH(ROWS(Table1[]) - (ROW()-4),Table1[Rank], 0), 4)</f>
        <v>28</v>
      </c>
      <c r="P156">
        <f ca="1">INDEX(Table1[],MATCH(ROWS(Table1[]) - (ROW()-4),Table1[Rank], 0), 1)</f>
        <v>23</v>
      </c>
      <c r="Q156" t="str">
        <f ca="1">INDEX(Table1[],MATCH(ROWS(Table1[]) - (ROW()-4),Table1[Rank], 0), 2)</f>
        <v>d12</v>
      </c>
      <c r="R156">
        <f ca="1">INDEX(Table1[],MATCH(ROWS(Table1[]) - (ROW()-4),Table1[Rank], 0), 3)</f>
        <v>163.07</v>
      </c>
    </row>
    <row r="157" spans="10:18" x14ac:dyDescent="0.25">
      <c r="J157" s="1">
        <f t="shared" si="19"/>
        <v>26</v>
      </c>
      <c r="K157" s="2" t="str">
        <f t="shared" ca="1" si="20"/>
        <v>d10</v>
      </c>
      <c r="L157">
        <f t="shared" ca="1" si="21"/>
        <v>158.86000000000001</v>
      </c>
      <c r="M157">
        <f ca="1">_xlfn.RANK.EQ(Table1[[#This Row],[Average]],Table1[Average])</f>
        <v>29</v>
      </c>
      <c r="O157">
        <f ca="1">INDEX(Table1[],MATCH(ROWS(Table1[]) - (ROW()-4),Table1[Rank], 0), 4)</f>
        <v>27</v>
      </c>
      <c r="P157">
        <f ca="1">INDEX(Table1[],MATCH(ROWS(Table1[]) - (ROW()-4),Table1[Rank], 0), 1)</f>
        <v>27</v>
      </c>
      <c r="Q157" t="str">
        <f ca="1">INDEX(Table1[],MATCH(ROWS(Table1[]) - (ROW()-4),Table1[Rank], 0), 2)</f>
        <v>d10</v>
      </c>
      <c r="R157">
        <f ca="1">INDEX(Table1[],MATCH(ROWS(Table1[]) - (ROW()-4),Table1[Rank], 0), 3)</f>
        <v>164.97</v>
      </c>
    </row>
    <row r="158" spans="10:18" x14ac:dyDescent="0.25">
      <c r="J158" s="1">
        <f t="shared" si="19"/>
        <v>26</v>
      </c>
      <c r="K158" s="2" t="str">
        <f t="shared" ca="1" si="20"/>
        <v>d12</v>
      </c>
      <c r="L158">
        <f t="shared" ca="1" si="21"/>
        <v>184.34</v>
      </c>
      <c r="M158">
        <f ca="1">_xlfn.RANK.EQ(Table1[[#This Row],[Average]],Table1[Average])</f>
        <v>19</v>
      </c>
      <c r="O158">
        <f ca="1">INDEX(Table1[],MATCH(ROWS(Table1[]) - (ROW()-4),Table1[Rank], 0), 4)</f>
        <v>26</v>
      </c>
      <c r="P158">
        <f ca="1">INDEX(Table1[],MATCH(ROWS(Table1[]) - (ROW()-4),Table1[Rank], 0), 1)</f>
        <v>15</v>
      </c>
      <c r="Q158" t="str">
        <f ca="1">INDEX(Table1[],MATCH(ROWS(Table1[]) - (ROW()-4),Table1[Rank], 0), 2)</f>
        <v>d20</v>
      </c>
      <c r="R158">
        <f ca="1">INDEX(Table1[],MATCH(ROWS(Table1[]) - (ROW()-4),Table1[Rank], 0), 3)</f>
        <v>165.75</v>
      </c>
    </row>
    <row r="159" spans="10:18" x14ac:dyDescent="0.25">
      <c r="J159" s="1">
        <f t="shared" si="19"/>
        <v>26</v>
      </c>
      <c r="K159" s="2" t="str">
        <f t="shared" ca="1" si="20"/>
        <v>d20</v>
      </c>
      <c r="L159">
        <f t="shared" ca="1" si="21"/>
        <v>287.3</v>
      </c>
      <c r="M159">
        <f ca="1">_xlfn.RANK.EQ(Table1[[#This Row],[Average]],Table1[Average])</f>
        <v>5</v>
      </c>
      <c r="O159">
        <f ca="1">INDEX(Table1[],MATCH(ROWS(Table1[]) - (ROW()-4),Table1[Rank], 0), 4)</f>
        <v>25</v>
      </c>
      <c r="P159">
        <f ca="1">INDEX(Table1[],MATCH(ROWS(Table1[]) - (ROW()-4),Table1[Rank], 0), 1)</f>
        <v>24</v>
      </c>
      <c r="Q159" t="str">
        <f ca="1">INDEX(Table1[],MATCH(ROWS(Table1[]) - (ROW()-4),Table1[Rank], 0), 2)</f>
        <v>d12</v>
      </c>
      <c r="R159">
        <f ca="1">INDEX(Table1[],MATCH(ROWS(Table1[]) - (ROW()-4),Table1[Rank], 0), 3)</f>
        <v>170.16</v>
      </c>
    </row>
    <row r="160" spans="10:18" x14ac:dyDescent="0.25">
      <c r="J160" s="1">
        <f t="shared" si="19"/>
        <v>27</v>
      </c>
      <c r="K160" s="2" t="str">
        <f t="shared" ca="1" si="20"/>
        <v>d4</v>
      </c>
      <c r="L160">
        <f t="shared" ca="1" si="21"/>
        <v>89.91</v>
      </c>
      <c r="M160">
        <f ca="1">_xlfn.RANK.EQ(Table1[[#This Row],[Average]],Table1[Average])</f>
        <v>82</v>
      </c>
      <c r="O160">
        <f ca="1">INDEX(Table1[],MATCH(ROWS(Table1[]) - (ROW()-4),Table1[Rank], 0), 4)</f>
        <v>24</v>
      </c>
      <c r="P160">
        <f ca="1">INDEX(Table1[],MATCH(ROWS(Table1[]) - (ROW()-4),Table1[Rank], 0), 1)</f>
        <v>28</v>
      </c>
      <c r="Q160" t="str">
        <f ca="1">INDEX(Table1[],MATCH(ROWS(Table1[]) - (ROW()-4),Table1[Rank], 0), 2)</f>
        <v>d10</v>
      </c>
      <c r="R160">
        <f ca="1">INDEX(Table1[],MATCH(ROWS(Table1[]) - (ROW()-4),Table1[Rank], 0), 3)</f>
        <v>171.08</v>
      </c>
    </row>
    <row r="161" spans="10:18" x14ac:dyDescent="0.25">
      <c r="J161" s="1">
        <f t="shared" si="19"/>
        <v>27</v>
      </c>
      <c r="K161" s="2" t="str">
        <f t="shared" ca="1" si="20"/>
        <v>d6</v>
      </c>
      <c r="L161">
        <f t="shared" ca="1" si="21"/>
        <v>113.4</v>
      </c>
      <c r="M161">
        <f ca="1">_xlfn.RANK.EQ(Table1[[#This Row],[Average]],Table1[Average])</f>
        <v>59</v>
      </c>
      <c r="O161">
        <f ca="1">INDEX(Table1[],MATCH(ROWS(Table1[]) - (ROW()-4),Table1[Rank], 0), 4)</f>
        <v>23</v>
      </c>
      <c r="P161">
        <f ca="1">INDEX(Table1[],MATCH(ROWS(Table1[]) - (ROW()-4),Table1[Rank], 0), 1)</f>
        <v>16</v>
      </c>
      <c r="Q161" t="str">
        <f ca="1">INDEX(Table1[],MATCH(ROWS(Table1[]) - (ROW()-4),Table1[Rank], 0), 2)</f>
        <v>d20</v>
      </c>
      <c r="R161">
        <f ca="1">INDEX(Table1[],MATCH(ROWS(Table1[]) - (ROW()-4),Table1[Rank], 0), 3)</f>
        <v>176.8</v>
      </c>
    </row>
    <row r="162" spans="10:18" x14ac:dyDescent="0.25">
      <c r="J162" s="1">
        <f t="shared" si="19"/>
        <v>27</v>
      </c>
      <c r="K162" s="2" t="str">
        <f t="shared" ca="1" si="20"/>
        <v>d8</v>
      </c>
      <c r="L162">
        <f t="shared" ca="1" si="21"/>
        <v>138.78</v>
      </c>
      <c r="M162">
        <f ca="1">_xlfn.RANK.EQ(Table1[[#This Row],[Average]],Table1[Average])</f>
        <v>41</v>
      </c>
      <c r="O162">
        <f ca="1">INDEX(Table1[],MATCH(ROWS(Table1[]) - (ROW()-4),Table1[Rank], 0), 4)</f>
        <v>22</v>
      </c>
      <c r="P162">
        <f ca="1">INDEX(Table1[],MATCH(ROWS(Table1[]) - (ROW()-4),Table1[Rank], 0), 1)</f>
        <v>29</v>
      </c>
      <c r="Q162" t="str">
        <f ca="1">INDEX(Table1[],MATCH(ROWS(Table1[]) - (ROW()-4),Table1[Rank], 0), 2)</f>
        <v>d10</v>
      </c>
      <c r="R162">
        <f ca="1">INDEX(Table1[],MATCH(ROWS(Table1[]) - (ROW()-4),Table1[Rank], 0), 3)</f>
        <v>177.19</v>
      </c>
    </row>
    <row r="163" spans="10:18" x14ac:dyDescent="0.25">
      <c r="J163" s="1">
        <f t="shared" si="19"/>
        <v>27</v>
      </c>
      <c r="K163" s="2" t="str">
        <f t="shared" ca="1" si="20"/>
        <v>d10</v>
      </c>
      <c r="L163">
        <f t="shared" ca="1" si="21"/>
        <v>164.97</v>
      </c>
      <c r="M163">
        <f ca="1">_xlfn.RANK.EQ(Table1[[#This Row],[Average]],Table1[Average])</f>
        <v>27</v>
      </c>
      <c r="O163">
        <f ca="1">INDEX(Table1[],MATCH(ROWS(Table1[]) - (ROW()-4),Table1[Rank], 0), 4)</f>
        <v>21</v>
      </c>
      <c r="P163">
        <f ca="1">INDEX(Table1[],MATCH(ROWS(Table1[]) - (ROW()-4),Table1[Rank], 0), 1)</f>
        <v>25</v>
      </c>
      <c r="Q163" t="str">
        <f ca="1">INDEX(Table1[],MATCH(ROWS(Table1[]) - (ROW()-4),Table1[Rank], 0), 2)</f>
        <v>d12</v>
      </c>
      <c r="R163">
        <f ca="1">INDEX(Table1[],MATCH(ROWS(Table1[]) - (ROW()-4),Table1[Rank], 0), 3)</f>
        <v>177.25</v>
      </c>
    </row>
    <row r="164" spans="10:18" x14ac:dyDescent="0.25">
      <c r="J164" s="1">
        <f t="shared" ref="J164:J183" si="22">(ROW(J164)-4 -MOD(ROW(J164)-4,6))/6+1</f>
        <v>27</v>
      </c>
      <c r="K164" s="2" t="str">
        <f t="shared" ref="K164:K183" ca="1" si="23">IF(MOD(ROW(INDIRECT("J"&amp;ROW()))-4,6) = 0, "d4", IF(MOD(ROW(INDIRECT("J"&amp;ROW()))-4,6) = 1, "d6", IF(MOD(ROW(INDIRECT("J"&amp;ROW()))-4,6) = 2, "d8", IF(MOD(ROW(INDIRECT("J"&amp;ROW()))-4,6) = 3, "d10", IF(MOD(ROW(INDIRECT("J"&amp;ROW()))-4,6) = 4, "d12", IF(MOD(ROW(INDIRECT("J"&amp;ROW()))-4,6) = 5, "d20", ))))))</f>
        <v>d12</v>
      </c>
      <c r="L164">
        <f t="shared" ref="L164:L183" ca="1" si="24">INDEX(diceAverages, INDIRECT("J"&amp;ROW()), IF(INDIRECT("K"&amp;ROW()) = "d4", 1,  IF(INDIRECT("K"&amp;ROW()) = "d6", 2,  IF(INDIRECT("K"&amp;ROW()) = "d8", 3,  IF(INDIRECT("K"&amp;ROW()) = "d10", 4, IF(INDIRECT("K"&amp;ROW()) = "d12", 5, IF(INDIRECT("K"&amp;ROW()) = "d20", 6, "ERROR")))))))</f>
        <v>191.43</v>
      </c>
      <c r="M164">
        <f ca="1">_xlfn.RANK.EQ(Table1[[#This Row],[Average]],Table1[Average])</f>
        <v>17</v>
      </c>
      <c r="O164">
        <f ca="1">INDEX(Table1[],MATCH(ROWS(Table1[]) - (ROW()-4),Table1[Rank], 0), 4)</f>
        <v>20</v>
      </c>
      <c r="P164">
        <f ca="1">INDEX(Table1[],MATCH(ROWS(Table1[]) - (ROW()-4),Table1[Rank], 0), 1)</f>
        <v>30</v>
      </c>
      <c r="Q164" t="str">
        <f ca="1">INDEX(Table1[],MATCH(ROWS(Table1[]) - (ROW()-4),Table1[Rank], 0), 2)</f>
        <v>d10</v>
      </c>
      <c r="R164">
        <f ca="1">INDEX(Table1[],MATCH(ROWS(Table1[]) - (ROW()-4),Table1[Rank], 0), 3)</f>
        <v>183.3</v>
      </c>
    </row>
    <row r="165" spans="10:18" x14ac:dyDescent="0.25">
      <c r="J165" s="16">
        <f t="shared" si="22"/>
        <v>27</v>
      </c>
      <c r="K165" s="2" t="str">
        <f t="shared" ca="1" si="23"/>
        <v>d20</v>
      </c>
      <c r="L165" s="17">
        <f t="shared" ca="1" si="24"/>
        <v>298.35000000000002</v>
      </c>
      <c r="M165">
        <f ca="1">_xlfn.RANK.EQ(Table1[[#This Row],[Average]],Table1[Average])</f>
        <v>4</v>
      </c>
      <c r="O165">
        <f ca="1">INDEX(Table1[],MATCH(ROWS(Table1[]) - (ROW()-4),Table1[Rank], 0), 4)</f>
        <v>19</v>
      </c>
      <c r="P165">
        <f ca="1">INDEX(Table1[],MATCH(ROWS(Table1[]) - (ROW()-4),Table1[Rank], 0), 1)</f>
        <v>26</v>
      </c>
      <c r="Q165" t="str">
        <f ca="1">INDEX(Table1[],MATCH(ROWS(Table1[]) - (ROW()-4),Table1[Rank], 0), 2)</f>
        <v>d12</v>
      </c>
      <c r="R165">
        <f ca="1">INDEX(Table1[],MATCH(ROWS(Table1[]) - (ROW()-4),Table1[Rank], 0), 3)</f>
        <v>184.34</v>
      </c>
    </row>
    <row r="166" spans="10:18" x14ac:dyDescent="0.25">
      <c r="J166" s="1">
        <f t="shared" si="22"/>
        <v>28</v>
      </c>
      <c r="K166" s="2" t="str">
        <f t="shared" ca="1" si="23"/>
        <v>d4</v>
      </c>
      <c r="L166">
        <f t="shared" ca="1" si="24"/>
        <v>93.240000000000009</v>
      </c>
      <c r="M166">
        <f ca="1">_xlfn.RANK.EQ(Table1[[#This Row],[Average]],Table1[Average])</f>
        <v>77</v>
      </c>
      <c r="O166">
        <f ca="1">INDEX(Table1[],MATCH(ROWS(Table1[]) - (ROW()-4),Table1[Rank], 0), 4)</f>
        <v>18</v>
      </c>
      <c r="P166">
        <f ca="1">INDEX(Table1[],MATCH(ROWS(Table1[]) - (ROW()-4),Table1[Rank], 0), 1)</f>
        <v>17</v>
      </c>
      <c r="Q166" t="str">
        <f ca="1">INDEX(Table1[],MATCH(ROWS(Table1[]) - (ROW()-4),Table1[Rank], 0), 2)</f>
        <v>d20</v>
      </c>
      <c r="R166">
        <f ca="1">INDEX(Table1[],MATCH(ROWS(Table1[]) - (ROW()-4),Table1[Rank], 0), 3)</f>
        <v>187.85000000000002</v>
      </c>
    </row>
    <row r="167" spans="10:18" x14ac:dyDescent="0.25">
      <c r="J167" s="1">
        <f t="shared" si="22"/>
        <v>28</v>
      </c>
      <c r="K167" s="2" t="str">
        <f t="shared" ca="1" si="23"/>
        <v>d6</v>
      </c>
      <c r="L167">
        <f t="shared" ca="1" si="24"/>
        <v>117.60000000000001</v>
      </c>
      <c r="M167">
        <f ca="1">_xlfn.RANK.EQ(Table1[[#This Row],[Average]],Table1[Average])</f>
        <v>56</v>
      </c>
      <c r="O167">
        <f ca="1">INDEX(Table1[],MATCH(ROWS(Table1[]) - (ROW()-4),Table1[Rank], 0), 4)</f>
        <v>17</v>
      </c>
      <c r="P167">
        <f ca="1">INDEX(Table1[],MATCH(ROWS(Table1[]) - (ROW()-4),Table1[Rank], 0), 1)</f>
        <v>27</v>
      </c>
      <c r="Q167" t="str">
        <f ca="1">INDEX(Table1[],MATCH(ROWS(Table1[]) - (ROW()-4),Table1[Rank], 0), 2)</f>
        <v>d12</v>
      </c>
      <c r="R167">
        <f ca="1">INDEX(Table1[],MATCH(ROWS(Table1[]) - (ROW()-4),Table1[Rank], 0), 3)</f>
        <v>191.43</v>
      </c>
    </row>
    <row r="168" spans="10:18" x14ac:dyDescent="0.25">
      <c r="J168" s="1">
        <f t="shared" si="22"/>
        <v>28</v>
      </c>
      <c r="K168" s="2" t="str">
        <f t="shared" ca="1" si="23"/>
        <v>d8</v>
      </c>
      <c r="L168">
        <f t="shared" ca="1" si="24"/>
        <v>143.91999999999999</v>
      </c>
      <c r="M168">
        <f ca="1">_xlfn.RANK.EQ(Table1[[#This Row],[Average]],Table1[Average])</f>
        <v>37</v>
      </c>
      <c r="O168">
        <f ca="1">INDEX(Table1[],MATCH(ROWS(Table1[]) - (ROW()-4),Table1[Rank], 0), 4)</f>
        <v>16</v>
      </c>
      <c r="P168">
        <f ca="1">INDEX(Table1[],MATCH(ROWS(Table1[]) - (ROW()-4),Table1[Rank], 0), 1)</f>
        <v>28</v>
      </c>
      <c r="Q168" t="str">
        <f ca="1">INDEX(Table1[],MATCH(ROWS(Table1[]) - (ROW()-4),Table1[Rank], 0), 2)</f>
        <v>d12</v>
      </c>
      <c r="R168">
        <f ca="1">INDEX(Table1[],MATCH(ROWS(Table1[]) - (ROW()-4),Table1[Rank], 0), 3)</f>
        <v>198.51999999999998</v>
      </c>
    </row>
    <row r="169" spans="10:18" x14ac:dyDescent="0.25">
      <c r="J169" s="1">
        <f t="shared" si="22"/>
        <v>28</v>
      </c>
      <c r="K169" s="2" t="str">
        <f t="shared" ca="1" si="23"/>
        <v>d10</v>
      </c>
      <c r="L169">
        <f t="shared" ca="1" si="24"/>
        <v>171.08</v>
      </c>
      <c r="M169">
        <f ca="1">_xlfn.RANK.EQ(Table1[[#This Row],[Average]],Table1[Average])</f>
        <v>24</v>
      </c>
      <c r="O169">
        <f ca="1">INDEX(Table1[],MATCH(ROWS(Table1[]) - (ROW()-4),Table1[Rank], 0), 4)</f>
        <v>15</v>
      </c>
      <c r="P169">
        <f ca="1">INDEX(Table1[],MATCH(ROWS(Table1[]) - (ROW()-4),Table1[Rank], 0), 1)</f>
        <v>18</v>
      </c>
      <c r="Q169" t="str">
        <f ca="1">INDEX(Table1[],MATCH(ROWS(Table1[]) - (ROW()-4),Table1[Rank], 0), 2)</f>
        <v>d20</v>
      </c>
      <c r="R169">
        <f ca="1">INDEX(Table1[],MATCH(ROWS(Table1[]) - (ROW()-4),Table1[Rank], 0), 3)</f>
        <v>198.9</v>
      </c>
    </row>
    <row r="170" spans="10:18" x14ac:dyDescent="0.25">
      <c r="J170" s="1">
        <f t="shared" si="22"/>
        <v>28</v>
      </c>
      <c r="K170" s="2" t="str">
        <f t="shared" ca="1" si="23"/>
        <v>d12</v>
      </c>
      <c r="L170">
        <f t="shared" ca="1" si="24"/>
        <v>198.51999999999998</v>
      </c>
      <c r="M170">
        <f ca="1">_xlfn.RANK.EQ(Table1[[#This Row],[Average]],Table1[Average])</f>
        <v>16</v>
      </c>
      <c r="O170">
        <f ca="1">INDEX(Table1[],MATCH(ROWS(Table1[]) - (ROW()-4),Table1[Rank], 0), 4)</f>
        <v>14</v>
      </c>
      <c r="P170">
        <f ca="1">INDEX(Table1[],MATCH(ROWS(Table1[]) - (ROW()-4),Table1[Rank], 0), 1)</f>
        <v>29</v>
      </c>
      <c r="Q170" t="str">
        <f ca="1">INDEX(Table1[],MATCH(ROWS(Table1[]) - (ROW()-4),Table1[Rank], 0), 2)</f>
        <v>d12</v>
      </c>
      <c r="R170">
        <f ca="1">INDEX(Table1[],MATCH(ROWS(Table1[]) - (ROW()-4),Table1[Rank], 0), 3)</f>
        <v>205.60999999999999</v>
      </c>
    </row>
    <row r="171" spans="10:18" x14ac:dyDescent="0.25">
      <c r="J171" s="16">
        <f t="shared" si="22"/>
        <v>28</v>
      </c>
      <c r="K171" s="2" t="str">
        <f t="shared" ca="1" si="23"/>
        <v>d20</v>
      </c>
      <c r="L171" s="17">
        <f t="shared" ca="1" si="24"/>
        <v>309.40000000000003</v>
      </c>
      <c r="M171">
        <f ca="1">_xlfn.RANK.EQ(Table1[[#This Row],[Average]],Table1[Average])</f>
        <v>3</v>
      </c>
      <c r="O171">
        <f ca="1">INDEX(Table1[],MATCH(ROWS(Table1[]) - (ROW()-4),Table1[Rank], 0), 4)</f>
        <v>13</v>
      </c>
      <c r="P171">
        <f ca="1">INDEX(Table1[],MATCH(ROWS(Table1[]) - (ROW()-4),Table1[Rank], 0), 1)</f>
        <v>19</v>
      </c>
      <c r="Q171" t="str">
        <f ca="1">INDEX(Table1[],MATCH(ROWS(Table1[]) - (ROW()-4),Table1[Rank], 0), 2)</f>
        <v>d20</v>
      </c>
      <c r="R171">
        <f ca="1">INDEX(Table1[],MATCH(ROWS(Table1[]) - (ROW()-4),Table1[Rank], 0), 3)</f>
        <v>209.95000000000002</v>
      </c>
    </row>
    <row r="172" spans="10:18" x14ac:dyDescent="0.25">
      <c r="J172" s="1">
        <f t="shared" si="22"/>
        <v>29</v>
      </c>
      <c r="K172" s="2" t="str">
        <f t="shared" ca="1" si="23"/>
        <v>d4</v>
      </c>
      <c r="L172">
        <f t="shared" ca="1" si="24"/>
        <v>96.570000000000007</v>
      </c>
      <c r="M172">
        <f ca="1">_xlfn.RANK.EQ(Table1[[#This Row],[Average]],Table1[Average])</f>
        <v>76</v>
      </c>
      <c r="O172">
        <f ca="1">INDEX(Table1[],MATCH(ROWS(Table1[]) - (ROW()-4),Table1[Rank], 0), 4)</f>
        <v>12</v>
      </c>
      <c r="P172">
        <f ca="1">INDEX(Table1[],MATCH(ROWS(Table1[]) - (ROW()-4),Table1[Rank], 0), 1)</f>
        <v>30</v>
      </c>
      <c r="Q172" t="str">
        <f ca="1">INDEX(Table1[],MATCH(ROWS(Table1[]) - (ROW()-4),Table1[Rank], 0), 2)</f>
        <v>d12</v>
      </c>
      <c r="R172">
        <f ca="1">INDEX(Table1[],MATCH(ROWS(Table1[]) - (ROW()-4),Table1[Rank], 0), 3)</f>
        <v>212.7</v>
      </c>
    </row>
    <row r="173" spans="10:18" x14ac:dyDescent="0.25">
      <c r="J173" s="1">
        <f t="shared" si="22"/>
        <v>29</v>
      </c>
      <c r="K173" s="2" t="str">
        <f t="shared" ca="1" si="23"/>
        <v>d6</v>
      </c>
      <c r="L173">
        <f t="shared" ca="1" si="24"/>
        <v>121.80000000000001</v>
      </c>
      <c r="M173">
        <f ca="1">_xlfn.RANK.EQ(Table1[[#This Row],[Average]],Table1[Average])</f>
        <v>52</v>
      </c>
      <c r="O173">
        <f ca="1">INDEX(Table1[],MATCH(ROWS(Table1[]) - (ROW()-4),Table1[Rank], 0), 4)</f>
        <v>11</v>
      </c>
      <c r="P173">
        <f ca="1">INDEX(Table1[],MATCH(ROWS(Table1[]) - (ROW()-4),Table1[Rank], 0), 1)</f>
        <v>20</v>
      </c>
      <c r="Q173" t="str">
        <f ca="1">INDEX(Table1[],MATCH(ROWS(Table1[]) - (ROW()-4),Table1[Rank], 0), 2)</f>
        <v>d20</v>
      </c>
      <c r="R173">
        <f ca="1">INDEX(Table1[],MATCH(ROWS(Table1[]) - (ROW()-4),Table1[Rank], 0), 3)</f>
        <v>221</v>
      </c>
    </row>
    <row r="174" spans="10:18" x14ac:dyDescent="0.25">
      <c r="J174" s="1">
        <f t="shared" si="22"/>
        <v>29</v>
      </c>
      <c r="K174" s="2" t="str">
        <f t="shared" ca="1" si="23"/>
        <v>d8</v>
      </c>
      <c r="L174">
        <f t="shared" ca="1" si="24"/>
        <v>149.06</v>
      </c>
      <c r="M174">
        <f ca="1">_xlfn.RANK.EQ(Table1[[#This Row],[Average]],Table1[Average])</f>
        <v>34</v>
      </c>
      <c r="O174">
        <f ca="1">INDEX(Table1[],MATCH(ROWS(Table1[]) - (ROW()-4),Table1[Rank], 0), 4)</f>
        <v>10</v>
      </c>
      <c r="P174">
        <f ca="1">INDEX(Table1[],MATCH(ROWS(Table1[]) - (ROW()-4),Table1[Rank], 0), 1)</f>
        <v>21</v>
      </c>
      <c r="Q174" t="str">
        <f ca="1">INDEX(Table1[],MATCH(ROWS(Table1[]) - (ROW()-4),Table1[Rank], 0), 2)</f>
        <v>d20</v>
      </c>
      <c r="R174">
        <f ca="1">INDEX(Table1[],MATCH(ROWS(Table1[]) - (ROW()-4),Table1[Rank], 0), 3)</f>
        <v>232.05</v>
      </c>
    </row>
    <row r="175" spans="10:18" x14ac:dyDescent="0.25">
      <c r="J175" s="1">
        <f t="shared" si="22"/>
        <v>29</v>
      </c>
      <c r="K175" s="2" t="str">
        <f t="shared" ca="1" si="23"/>
        <v>d10</v>
      </c>
      <c r="L175">
        <f t="shared" ca="1" si="24"/>
        <v>177.19</v>
      </c>
      <c r="M175">
        <f ca="1">_xlfn.RANK.EQ(Table1[[#This Row],[Average]],Table1[Average])</f>
        <v>22</v>
      </c>
      <c r="O175">
        <f ca="1">INDEX(Table1[],MATCH(ROWS(Table1[]) - (ROW()-4),Table1[Rank], 0), 4)</f>
        <v>9</v>
      </c>
      <c r="P175">
        <f ca="1">INDEX(Table1[],MATCH(ROWS(Table1[]) - (ROW()-4),Table1[Rank], 0), 1)</f>
        <v>22</v>
      </c>
      <c r="Q175" t="str">
        <f ca="1">INDEX(Table1[],MATCH(ROWS(Table1[]) - (ROW()-4),Table1[Rank], 0), 2)</f>
        <v>d20</v>
      </c>
      <c r="R175">
        <f ca="1">INDEX(Table1[],MATCH(ROWS(Table1[]) - (ROW()-4),Table1[Rank], 0), 3)</f>
        <v>243.10000000000002</v>
      </c>
    </row>
    <row r="176" spans="10:18" x14ac:dyDescent="0.25">
      <c r="J176" s="1">
        <f t="shared" si="22"/>
        <v>29</v>
      </c>
      <c r="K176" s="2" t="str">
        <f t="shared" ca="1" si="23"/>
        <v>d12</v>
      </c>
      <c r="L176">
        <f t="shared" ca="1" si="24"/>
        <v>205.60999999999999</v>
      </c>
      <c r="M176">
        <f ca="1">_xlfn.RANK.EQ(Table1[[#This Row],[Average]],Table1[Average])</f>
        <v>14</v>
      </c>
      <c r="O176">
        <f ca="1">INDEX(Table1[],MATCH(ROWS(Table1[]) - (ROW()-4),Table1[Rank], 0), 4)</f>
        <v>8</v>
      </c>
      <c r="P176">
        <f ca="1">INDEX(Table1[],MATCH(ROWS(Table1[]) - (ROW()-4),Table1[Rank], 0), 1)</f>
        <v>23</v>
      </c>
      <c r="Q176" t="str">
        <f ca="1">INDEX(Table1[],MATCH(ROWS(Table1[]) - (ROW()-4),Table1[Rank], 0), 2)</f>
        <v>d20</v>
      </c>
      <c r="R176">
        <f ca="1">INDEX(Table1[],MATCH(ROWS(Table1[]) - (ROW()-4),Table1[Rank], 0), 3)</f>
        <v>254.15</v>
      </c>
    </row>
    <row r="177" spans="10:18" x14ac:dyDescent="0.25">
      <c r="J177" s="1">
        <f t="shared" si="22"/>
        <v>29</v>
      </c>
      <c r="K177" s="2" t="str">
        <f t="shared" ca="1" si="23"/>
        <v>d20</v>
      </c>
      <c r="L177">
        <f t="shared" ca="1" si="24"/>
        <v>320.45000000000005</v>
      </c>
      <c r="M177">
        <f ca="1">_xlfn.RANK.EQ(Table1[[#This Row],[Average]],Table1[Average])</f>
        <v>2</v>
      </c>
      <c r="O177">
        <f ca="1">INDEX(Table1[],MATCH(ROWS(Table1[]) - (ROW()-4),Table1[Rank], 0), 4)</f>
        <v>7</v>
      </c>
      <c r="P177">
        <f ca="1">INDEX(Table1[],MATCH(ROWS(Table1[]) - (ROW()-4),Table1[Rank], 0), 1)</f>
        <v>24</v>
      </c>
      <c r="Q177" t="str">
        <f ca="1">INDEX(Table1[],MATCH(ROWS(Table1[]) - (ROW()-4),Table1[Rank], 0), 2)</f>
        <v>d20</v>
      </c>
      <c r="R177">
        <f ca="1">INDEX(Table1[],MATCH(ROWS(Table1[]) - (ROW()-4),Table1[Rank], 0), 3)</f>
        <v>265.20000000000005</v>
      </c>
    </row>
    <row r="178" spans="10:18" x14ac:dyDescent="0.25">
      <c r="J178" s="1">
        <f t="shared" si="22"/>
        <v>30</v>
      </c>
      <c r="K178" s="2" t="str">
        <f t="shared" ca="1" si="23"/>
        <v>d4</v>
      </c>
      <c r="L178">
        <f t="shared" ca="1" si="24"/>
        <v>99.9</v>
      </c>
      <c r="M178">
        <f ca="1">_xlfn.RANK.EQ(Table1[[#This Row],[Average]],Table1[Average])</f>
        <v>70</v>
      </c>
      <c r="O178">
        <f ca="1">INDEX(Table1[],MATCH(ROWS(Table1[]) - (ROW()-4),Table1[Rank], 0), 4)</f>
        <v>6</v>
      </c>
      <c r="P178">
        <f ca="1">INDEX(Table1[],MATCH(ROWS(Table1[]) - (ROW()-4),Table1[Rank], 0), 1)</f>
        <v>25</v>
      </c>
      <c r="Q178" t="str">
        <f ca="1">INDEX(Table1[],MATCH(ROWS(Table1[]) - (ROW()-4),Table1[Rank], 0), 2)</f>
        <v>d20</v>
      </c>
      <c r="R178">
        <f ca="1">INDEX(Table1[],MATCH(ROWS(Table1[]) - (ROW()-4),Table1[Rank], 0), 3)</f>
        <v>276.25</v>
      </c>
    </row>
    <row r="179" spans="10:18" x14ac:dyDescent="0.25">
      <c r="J179" s="1">
        <f t="shared" si="22"/>
        <v>30</v>
      </c>
      <c r="K179" s="2" t="str">
        <f t="shared" ca="1" si="23"/>
        <v>d6</v>
      </c>
      <c r="L179">
        <f t="shared" ca="1" si="24"/>
        <v>126</v>
      </c>
      <c r="M179">
        <f ca="1">_xlfn.RANK.EQ(Table1[[#This Row],[Average]],Table1[Average])</f>
        <v>49</v>
      </c>
      <c r="O179">
        <f ca="1">INDEX(Table1[],MATCH(ROWS(Table1[]) - (ROW()-4),Table1[Rank], 0), 4)</f>
        <v>5</v>
      </c>
      <c r="P179">
        <f ca="1">INDEX(Table1[],MATCH(ROWS(Table1[]) - (ROW()-4),Table1[Rank], 0), 1)</f>
        <v>26</v>
      </c>
      <c r="Q179" t="str">
        <f ca="1">INDEX(Table1[],MATCH(ROWS(Table1[]) - (ROW()-4),Table1[Rank], 0), 2)</f>
        <v>d20</v>
      </c>
      <c r="R179">
        <f ca="1">INDEX(Table1[],MATCH(ROWS(Table1[]) - (ROW()-4),Table1[Rank], 0), 3)</f>
        <v>287.3</v>
      </c>
    </row>
    <row r="180" spans="10:18" x14ac:dyDescent="0.25">
      <c r="J180" s="1">
        <f t="shared" si="22"/>
        <v>30</v>
      </c>
      <c r="K180" s="2" t="str">
        <f t="shared" ca="1" si="23"/>
        <v>d8</v>
      </c>
      <c r="L180">
        <f t="shared" ca="1" si="24"/>
        <v>154.19999999999999</v>
      </c>
      <c r="M180">
        <f ca="1">_xlfn.RANK.EQ(Table1[[#This Row],[Average]],Table1[Average])</f>
        <v>32</v>
      </c>
      <c r="O180">
        <f ca="1">INDEX(Table1[],MATCH(ROWS(Table1[]) - (ROW()-4),Table1[Rank], 0), 4)</f>
        <v>4</v>
      </c>
      <c r="P180">
        <f ca="1">INDEX(Table1[],MATCH(ROWS(Table1[]) - (ROW()-4),Table1[Rank], 0), 1)</f>
        <v>27</v>
      </c>
      <c r="Q180" t="str">
        <f ca="1">INDEX(Table1[],MATCH(ROWS(Table1[]) - (ROW()-4),Table1[Rank], 0), 2)</f>
        <v>d20</v>
      </c>
      <c r="R180">
        <f ca="1">INDEX(Table1[],MATCH(ROWS(Table1[]) - (ROW()-4),Table1[Rank], 0), 3)</f>
        <v>298.35000000000002</v>
      </c>
    </row>
    <row r="181" spans="10:18" x14ac:dyDescent="0.25">
      <c r="J181" s="1">
        <f t="shared" si="22"/>
        <v>30</v>
      </c>
      <c r="K181" s="2" t="str">
        <f t="shared" ca="1" si="23"/>
        <v>d10</v>
      </c>
      <c r="L181">
        <f t="shared" ca="1" si="24"/>
        <v>183.3</v>
      </c>
      <c r="M181">
        <f ca="1">_xlfn.RANK.EQ(Table1[[#This Row],[Average]],Table1[Average])</f>
        <v>20</v>
      </c>
      <c r="O181">
        <f ca="1">INDEX(Table1[],MATCH(ROWS(Table1[]) - (ROW()-4),Table1[Rank], 0), 4)</f>
        <v>3</v>
      </c>
      <c r="P181">
        <f ca="1">INDEX(Table1[],MATCH(ROWS(Table1[]) - (ROW()-4),Table1[Rank], 0), 1)</f>
        <v>28</v>
      </c>
      <c r="Q181" t="str">
        <f ca="1">INDEX(Table1[],MATCH(ROWS(Table1[]) - (ROW()-4),Table1[Rank], 0), 2)</f>
        <v>d20</v>
      </c>
      <c r="R181">
        <f ca="1">INDEX(Table1[],MATCH(ROWS(Table1[]) - (ROW()-4),Table1[Rank], 0), 3)</f>
        <v>309.40000000000003</v>
      </c>
    </row>
    <row r="182" spans="10:18" x14ac:dyDescent="0.25">
      <c r="J182" s="1">
        <f t="shared" si="22"/>
        <v>30</v>
      </c>
      <c r="K182" s="2" t="str">
        <f t="shared" ca="1" si="23"/>
        <v>d12</v>
      </c>
      <c r="L182">
        <f t="shared" ca="1" si="24"/>
        <v>212.7</v>
      </c>
      <c r="M182">
        <f ca="1">_xlfn.RANK.EQ(Table1[[#This Row],[Average]],Table1[Average])</f>
        <v>12</v>
      </c>
      <c r="O182">
        <f ca="1">INDEX(Table1[],MATCH(ROWS(Table1[]) - (ROW()-4),Table1[Rank], 0), 4)</f>
        <v>2</v>
      </c>
      <c r="P182">
        <f ca="1">INDEX(Table1[],MATCH(ROWS(Table1[]) - (ROW()-4),Table1[Rank], 0), 1)</f>
        <v>29</v>
      </c>
      <c r="Q182" t="str">
        <f ca="1">INDEX(Table1[],MATCH(ROWS(Table1[]) - (ROW()-4),Table1[Rank], 0), 2)</f>
        <v>d20</v>
      </c>
      <c r="R182">
        <f ca="1">INDEX(Table1[],MATCH(ROWS(Table1[]) - (ROW()-4),Table1[Rank], 0), 3)</f>
        <v>320.45000000000005</v>
      </c>
    </row>
    <row r="183" spans="10:18" x14ac:dyDescent="0.25">
      <c r="J183" s="1">
        <f t="shared" si="22"/>
        <v>30</v>
      </c>
      <c r="K183" s="2" t="str">
        <f t="shared" ca="1" si="23"/>
        <v>d20</v>
      </c>
      <c r="L183">
        <f t="shared" ca="1" si="24"/>
        <v>331.5</v>
      </c>
      <c r="M183">
        <f ca="1">_xlfn.RANK.EQ(Table1[[#This Row],[Average]],Table1[Average])</f>
        <v>1</v>
      </c>
      <c r="O183">
        <f ca="1">INDEX(Table1[],MATCH(ROWS(Table1[]) - (ROW()-4),Table1[Rank], 0), 4)</f>
        <v>1</v>
      </c>
      <c r="P183">
        <f ca="1">INDEX(Table1[],MATCH(ROWS(Table1[]) - (ROW()-4),Table1[Rank], 0), 1)</f>
        <v>30</v>
      </c>
      <c r="Q183" t="str">
        <f ca="1">INDEX(Table1[],MATCH(ROWS(Table1[]) - (ROW()-4),Table1[Rank], 0), 2)</f>
        <v>d20</v>
      </c>
      <c r="R183">
        <f ca="1">INDEX(Table1[],MATCH(ROWS(Table1[]) - (ROW()-4),Table1[Rank], 0), 3)</f>
        <v>331.5</v>
      </c>
    </row>
  </sheetData>
  <mergeCells count="9">
    <mergeCell ref="C2:H2"/>
    <mergeCell ref="X3:Y3"/>
    <mergeCell ref="O2:R2"/>
    <mergeCell ref="J2:M2"/>
    <mergeCell ref="V4:V5"/>
    <mergeCell ref="W4:W5"/>
    <mergeCell ref="X4:Y5"/>
    <mergeCell ref="V2:Y2"/>
    <mergeCell ref="V3:W3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diceAverages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2018-03-26T17:04:57Z</dcterms:created>
  <dcterms:modified xsi:type="dcterms:W3CDTF">2018-06-16T00:00:17Z</dcterms:modified>
</cp:coreProperties>
</file>