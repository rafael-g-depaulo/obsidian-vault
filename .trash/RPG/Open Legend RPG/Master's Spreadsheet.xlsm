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"/>
    </mc:Choice>
  </mc:AlternateContent>
  <bookViews>
    <workbookView xWindow="0" yWindow="0" windowWidth="11595" windowHeight="4890" tabRatio="803"/>
  </bookViews>
  <sheets>
    <sheet name="Usefull Stuff" sheetId="1" r:id="rId1"/>
    <sheet name="Enemy Sheet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2" i="3" l="1"/>
  <c r="H21" i="3" l="1"/>
  <c r="G21" i="3"/>
  <c r="G20" i="3"/>
  <c r="G17" i="3"/>
  <c r="G15" i="3"/>
  <c r="E22" i="3" l="1"/>
  <c r="E25" i="3"/>
  <c r="E24" i="3"/>
  <c r="E23" i="3"/>
  <c r="E21" i="3"/>
  <c r="E20" i="3"/>
  <c r="E19" i="3"/>
  <c r="E18" i="3"/>
  <c r="E16" i="3"/>
  <c r="E15" i="3"/>
  <c r="E14" i="3"/>
  <c r="E12" i="3"/>
  <c r="E11" i="3"/>
  <c r="E10" i="3"/>
  <c r="E9" i="3"/>
  <c r="B9" i="3"/>
  <c r="E7" i="3"/>
  <c r="E6" i="3"/>
  <c r="E5" i="3"/>
</calcChain>
</file>

<file path=xl/sharedStrings.xml><?xml version="1.0" encoding="utf-8"?>
<sst xmlns="http://schemas.openxmlformats.org/spreadsheetml/2006/main" count="72" uniqueCount="68">
  <si>
    <t>Iniciativa</t>
  </si>
  <si>
    <t>Name</t>
  </si>
  <si>
    <t>cur HP</t>
  </si>
  <si>
    <t>max HP</t>
  </si>
  <si>
    <t>Roll Table</t>
  </si>
  <si>
    <t>Dice</t>
  </si>
  <si>
    <t>Attribute</t>
  </si>
  <si>
    <t>1d4</t>
  </si>
  <si>
    <t>1d6</t>
  </si>
  <si>
    <t>1d8</t>
  </si>
  <si>
    <t>1d10</t>
  </si>
  <si>
    <t>2d6</t>
  </si>
  <si>
    <t>2d8</t>
  </si>
  <si>
    <t>2d10</t>
  </si>
  <si>
    <t>3d8</t>
  </si>
  <si>
    <t>3d10</t>
  </si>
  <si>
    <t>4d8</t>
  </si>
  <si>
    <t>Character</t>
  </si>
  <si>
    <t>Buff/Debuf</t>
  </si>
  <si>
    <t>Buff</t>
  </si>
  <si>
    <t>Duration</t>
  </si>
  <si>
    <t>HP:</t>
  </si>
  <si>
    <t>/</t>
  </si>
  <si>
    <t>MANA:</t>
  </si>
  <si>
    <t>Attacks With:</t>
  </si>
  <si>
    <t>Agility</t>
  </si>
  <si>
    <t>Movement</t>
  </si>
  <si>
    <t>Skill / Perk / Feat</t>
  </si>
  <si>
    <t>Description</t>
  </si>
  <si>
    <t>Cost</t>
  </si>
  <si>
    <t>Fortitude</t>
  </si>
  <si>
    <t>Might</t>
  </si>
  <si>
    <t>Attributes</t>
  </si>
  <si>
    <t>Score</t>
  </si>
  <si>
    <t>Bonus</t>
  </si>
  <si>
    <t>Physical</t>
  </si>
  <si>
    <t>Mental</t>
  </si>
  <si>
    <t>Logic</t>
  </si>
  <si>
    <t>Perception</t>
  </si>
  <si>
    <t>Will</t>
  </si>
  <si>
    <t>Social</t>
  </si>
  <si>
    <t>Deception</t>
  </si>
  <si>
    <t>Persuation</t>
  </si>
  <si>
    <t>Presence</t>
  </si>
  <si>
    <t>Alteration</t>
  </si>
  <si>
    <t>Creation</t>
  </si>
  <si>
    <t>Energy</t>
  </si>
  <si>
    <t>Entropy</t>
  </si>
  <si>
    <t>Influcence</t>
  </si>
  <si>
    <t>Prescience</t>
  </si>
  <si>
    <t>Protection</t>
  </si>
  <si>
    <t>Extraordinary</t>
  </si>
  <si>
    <t>Party Size</t>
  </si>
  <si>
    <t>Party Level</t>
  </si>
  <si>
    <t>Iniciative</t>
  </si>
  <si>
    <t>Defense</t>
  </si>
  <si>
    <t>Guard</t>
  </si>
  <si>
    <t>Dodge</t>
  </si>
  <si>
    <t>Dmg OUT</t>
  </si>
  <si>
    <t>Dmg IN</t>
  </si>
  <si>
    <t>d2</t>
  </si>
  <si>
    <t>d4</t>
  </si>
  <si>
    <t>d6</t>
  </si>
  <si>
    <t>d8</t>
  </si>
  <si>
    <t>d10</t>
  </si>
  <si>
    <t>d12</t>
  </si>
  <si>
    <t>d20</t>
  </si>
  <si>
    <t>d100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</si>
</sst>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4"/>
      <color rgb="FF883406"/>
      <name val="Calibri"/>
      <family val="2"/>
      <scheme val="minor"/>
    </font>
    <font>
      <sz val="16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6"/>
      <color rgb="FF7E691C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4"/>
      <color rgb="FF9C65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99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E7550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FEB9C"/>
      </patternFill>
    </fill>
  </fills>
  <borders count="36">
    <border>
      <left/>
      <right/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3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3" fillId="19" borderId="0" applyNumberFormat="0" applyBorder="0" applyAlignment="0" applyProtection="0"/>
    <xf numFmtId="0" fontId="10" fillId="26" borderId="23" applyNumberFormat="0" applyAlignment="0" applyProtection="0"/>
    <xf numFmtId="0" fontId="3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16" fillId="32" borderId="0" applyNumberFormat="0" applyBorder="0" applyAlignment="0" applyProtection="0"/>
  </cellStyleXfs>
  <cellXfs count="133">
    <xf numFmtId="0" fontId="0" fillId="0" borderId="0" xfId="0"/>
    <xf numFmtId="0" fontId="3" fillId="9" borderId="0" xfId="8"/>
    <xf numFmtId="0" fontId="6" fillId="0" borderId="0" xfId="0" applyFont="1" applyAlignment="1">
      <alignment vertical="center"/>
    </xf>
    <xf numFmtId="0" fontId="3" fillId="19" borderId="0" xfId="18"/>
    <xf numFmtId="0" fontId="1" fillId="13" borderId="1" xfId="12" applyBorder="1" applyAlignment="1">
      <alignment horizontal="center"/>
    </xf>
    <xf numFmtId="0" fontId="1" fillId="13" borderId="2" xfId="12" applyBorder="1" applyAlignment="1">
      <alignment horizontal="center"/>
    </xf>
    <xf numFmtId="0" fontId="1" fillId="14" borderId="4" xfId="13" applyBorder="1" applyAlignment="1">
      <alignment horizontal="center"/>
    </xf>
    <xf numFmtId="0" fontId="1" fillId="14" borderId="0" xfId="13" applyBorder="1" applyAlignment="1">
      <alignment horizontal="center"/>
    </xf>
    <xf numFmtId="0" fontId="1" fillId="13" borderId="4" xfId="12" applyBorder="1" applyAlignment="1">
      <alignment horizontal="center"/>
    </xf>
    <xf numFmtId="0" fontId="1" fillId="13" borderId="0" xfId="12" applyBorder="1" applyAlignment="1">
      <alignment horizontal="center"/>
    </xf>
    <xf numFmtId="0" fontId="1" fillId="18" borderId="9" xfId="17" applyBorder="1" applyAlignment="1">
      <alignment horizontal="center"/>
    </xf>
    <xf numFmtId="0" fontId="1" fillId="18" borderId="10" xfId="17" applyBorder="1" applyAlignment="1">
      <alignment horizontal="center"/>
    </xf>
    <xf numFmtId="0" fontId="1" fillId="17" borderId="4" xfId="16" applyBorder="1" applyAlignment="1">
      <alignment horizontal="center"/>
    </xf>
    <xf numFmtId="0" fontId="1" fillId="17" borderId="0" xfId="16" applyBorder="1" applyAlignment="1">
      <alignment horizontal="center"/>
    </xf>
    <xf numFmtId="0" fontId="1" fillId="18" borderId="4" xfId="17" applyBorder="1" applyAlignment="1">
      <alignment horizontal="center"/>
    </xf>
    <xf numFmtId="0" fontId="1" fillId="18" borderId="0" xfId="17" applyBorder="1" applyAlignment="1">
      <alignment horizontal="center"/>
    </xf>
    <xf numFmtId="0" fontId="1" fillId="4" borderId="4" xfId="3" applyBorder="1" applyAlignment="1">
      <alignment horizontal="center"/>
    </xf>
    <xf numFmtId="0" fontId="1" fillId="4" borderId="0" xfId="3" applyBorder="1" applyAlignment="1">
      <alignment horizontal="center"/>
    </xf>
    <xf numFmtId="0" fontId="1" fillId="5" borderId="4" xfId="4" applyBorder="1" applyAlignment="1">
      <alignment horizontal="center"/>
    </xf>
    <xf numFmtId="0" fontId="1" fillId="5" borderId="0" xfId="4" applyBorder="1" applyAlignment="1">
      <alignment horizontal="center"/>
    </xf>
    <xf numFmtId="0" fontId="1" fillId="5" borderId="5" xfId="4" applyBorder="1"/>
    <xf numFmtId="0" fontId="1" fillId="8" borderId="9" xfId="7" applyBorder="1" applyAlignment="1">
      <alignment horizontal="center"/>
    </xf>
    <xf numFmtId="0" fontId="1" fillId="8" borderId="10" xfId="7" applyBorder="1" applyAlignment="1">
      <alignment horizontal="center"/>
    </xf>
    <xf numFmtId="0" fontId="1" fillId="8" borderId="0" xfId="7" applyBorder="1" applyAlignment="1">
      <alignment horizontal="center"/>
    </xf>
    <xf numFmtId="0" fontId="1" fillId="7" borderId="4" xfId="6" applyBorder="1" applyAlignment="1">
      <alignment horizontal="center"/>
    </xf>
    <xf numFmtId="0" fontId="1" fillId="7" borderId="0" xfId="6" applyBorder="1" applyAlignment="1">
      <alignment horizontal="center"/>
    </xf>
    <xf numFmtId="0" fontId="1" fillId="8" borderId="4" xfId="7" applyBorder="1" applyAlignment="1">
      <alignment horizontal="center"/>
    </xf>
    <xf numFmtId="0" fontId="3" fillId="11" borderId="4" xfId="10" applyBorder="1" applyAlignment="1">
      <alignment horizontal="center"/>
    </xf>
    <xf numFmtId="0" fontId="3" fillId="11" borderId="12" xfId="10" applyBorder="1" applyAlignment="1">
      <alignment horizontal="center"/>
    </xf>
    <xf numFmtId="0" fontId="3" fillId="11" borderId="5" xfId="10" applyBorder="1" applyAlignment="1">
      <alignment horizontal="center"/>
    </xf>
    <xf numFmtId="0" fontId="9" fillId="23" borderId="0" xfId="0" applyFont="1" applyFill="1"/>
    <xf numFmtId="0" fontId="0" fillId="7" borderId="5" xfId="6" applyFont="1" applyBorder="1"/>
    <xf numFmtId="0" fontId="0" fillId="8" borderId="5" xfId="7" applyFont="1" applyBorder="1"/>
    <xf numFmtId="0" fontId="0" fillId="8" borderId="11" xfId="7" applyFont="1" applyBorder="1"/>
    <xf numFmtId="0" fontId="0" fillId="4" borderId="5" xfId="3" applyFont="1" applyBorder="1"/>
    <xf numFmtId="0" fontId="0" fillId="5" borderId="5" xfId="4" applyFont="1" applyBorder="1"/>
    <xf numFmtId="0" fontId="0" fillId="18" borderId="5" xfId="17" applyFont="1" applyBorder="1"/>
    <xf numFmtId="0" fontId="0" fillId="17" borderId="5" xfId="16" applyFont="1" applyBorder="1"/>
    <xf numFmtId="0" fontId="0" fillId="18" borderId="11" xfId="17" applyFont="1" applyBorder="1"/>
    <xf numFmtId="0" fontId="0" fillId="14" borderId="5" xfId="13" applyFont="1" applyBorder="1"/>
    <xf numFmtId="0" fontId="0" fillId="13" borderId="5" xfId="12" applyFont="1" applyBorder="1"/>
    <xf numFmtId="0" fontId="0" fillId="13" borderId="3" xfId="12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" fillId="15" borderId="0" xfId="14" applyAlignment="1">
      <alignment horizontal="center" vertical="center"/>
    </xf>
    <xf numFmtId="0" fontId="3" fillId="29" borderId="30" xfId="22" applyBorder="1" applyAlignment="1">
      <alignment horizontal="center"/>
    </xf>
    <xf numFmtId="0" fontId="9" fillId="23" borderId="0" xfId="0" applyFont="1" applyFill="1" applyAlignment="1">
      <alignment horizont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3" fillId="29" borderId="22" xfId="22" applyBorder="1" applyAlignment="1">
      <alignment horizontal="center" vertical="center"/>
    </xf>
    <xf numFmtId="0" fontId="3" fillId="29" borderId="21" xfId="22" applyBorder="1" applyAlignment="1">
      <alignment horizontal="center" vertical="center"/>
    </xf>
    <xf numFmtId="0" fontId="17" fillId="32" borderId="16" xfId="23" applyFont="1" applyBorder="1" applyAlignment="1">
      <alignment horizontal="center" vertical="center"/>
    </xf>
    <xf numFmtId="0" fontId="17" fillId="32" borderId="18" xfId="23" applyFont="1" applyBorder="1"/>
    <xf numFmtId="0" fontId="17" fillId="32" borderId="22" xfId="23" applyFont="1" applyBorder="1" applyAlignment="1">
      <alignment horizontal="center" vertical="center"/>
    </xf>
    <xf numFmtId="0" fontId="17" fillId="32" borderId="21" xfId="23" applyFont="1" applyBorder="1"/>
    <xf numFmtId="0" fontId="17" fillId="32" borderId="19" xfId="23" applyFont="1" applyBorder="1" applyAlignment="1">
      <alignment horizontal="center" vertical="center"/>
    </xf>
    <xf numFmtId="0" fontId="17" fillId="32" borderId="20" xfId="23" applyFont="1" applyBorder="1"/>
    <xf numFmtId="0" fontId="3" fillId="12" borderId="0" xfId="11" applyAlignment="1">
      <alignment horizontal="center" vertical="center"/>
    </xf>
    <xf numFmtId="0" fontId="3" fillId="6" borderId="0" xfId="5" applyAlignment="1">
      <alignment horizont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3" fillId="16" borderId="0" xfId="15" applyAlignment="1">
      <alignment horizontal="center"/>
    </xf>
    <xf numFmtId="0" fontId="3" fillId="27" borderId="16" xfId="20" applyBorder="1" applyAlignment="1">
      <alignment horizontal="center" vertical="center"/>
    </xf>
    <xf numFmtId="0" fontId="3" fillId="27" borderId="18" xfId="20" applyBorder="1" applyAlignment="1">
      <alignment horizontal="center" vertical="center"/>
    </xf>
    <xf numFmtId="0" fontId="1" fillId="28" borderId="22" xfId="21" applyBorder="1" applyAlignment="1">
      <alignment horizontal="center" vertical="center"/>
    </xf>
    <xf numFmtId="0" fontId="1" fillId="28" borderId="21" xfId="21" applyBorder="1" applyAlignment="1">
      <alignment horizontal="center" vertical="center"/>
    </xf>
    <xf numFmtId="0" fontId="1" fillId="28" borderId="19" xfId="21" applyBorder="1" applyAlignment="1">
      <alignment horizontal="center" vertical="center"/>
    </xf>
    <xf numFmtId="0" fontId="1" fillId="28" borderId="20" xfId="21" applyBorder="1" applyAlignment="1">
      <alignment horizontal="center" vertical="center"/>
    </xf>
    <xf numFmtId="0" fontId="4" fillId="28" borderId="33" xfId="21" applyFont="1" applyBorder="1" applyAlignment="1">
      <alignment horizontal="center" vertical="center"/>
    </xf>
    <xf numFmtId="0" fontId="4" fillId="28" borderId="19" xfId="21" applyFont="1" applyBorder="1" applyAlignment="1">
      <alignment horizontal="center" vertical="center"/>
    </xf>
    <xf numFmtId="0" fontId="4" fillId="28" borderId="34" xfId="21" applyFont="1" applyBorder="1" applyAlignment="1">
      <alignment horizontal="center" vertical="center"/>
    </xf>
    <xf numFmtId="0" fontId="4" fillId="28" borderId="35" xfId="21" applyFont="1" applyBorder="1" applyAlignment="1">
      <alignment horizontal="center" vertical="center"/>
    </xf>
    <xf numFmtId="0" fontId="4" fillId="28" borderId="10" xfId="21" applyFont="1" applyBorder="1" applyAlignment="1">
      <alignment horizontal="center" vertical="center"/>
    </xf>
    <xf numFmtId="0" fontId="4" fillId="28" borderId="20" xfId="21" applyFont="1" applyBorder="1" applyAlignment="1">
      <alignment horizontal="center" vertical="center"/>
    </xf>
    <xf numFmtId="0" fontId="3" fillId="27" borderId="28" xfId="20" applyBorder="1" applyAlignment="1">
      <alignment horizontal="center"/>
    </xf>
    <xf numFmtId="0" fontId="3" fillId="27" borderId="7" xfId="20" applyBorder="1" applyAlignment="1">
      <alignment horizontal="center"/>
    </xf>
    <xf numFmtId="0" fontId="3" fillId="27" borderId="29" xfId="20" applyBorder="1" applyAlignment="1">
      <alignment horizontal="center"/>
    </xf>
    <xf numFmtId="0" fontId="3" fillId="29" borderId="31" xfId="22" applyBorder="1" applyAlignment="1">
      <alignment horizontal="center"/>
    </xf>
    <xf numFmtId="0" fontId="3" fillId="29" borderId="32" xfId="22" applyBorder="1" applyAlignment="1">
      <alignment horizontal="center"/>
    </xf>
    <xf numFmtId="0" fontId="3" fillId="6" borderId="8" xfId="5" applyBorder="1" applyAlignment="1">
      <alignment horizontal="center"/>
    </xf>
    <xf numFmtId="0" fontId="3" fillId="6" borderId="7" xfId="5" applyBorder="1" applyAlignment="1">
      <alignment horizontal="center"/>
    </xf>
    <xf numFmtId="0" fontId="3" fillId="6" borderId="6" xfId="5" applyBorder="1" applyAlignment="1">
      <alignment horizontal="center"/>
    </xf>
    <xf numFmtId="0" fontId="8" fillId="20" borderId="16" xfId="1" applyFont="1" applyFill="1" applyBorder="1" applyAlignment="1">
      <alignment horizontal="center" vertical="center"/>
    </xf>
    <xf numFmtId="0" fontId="8" fillId="20" borderId="19" xfId="1" applyFont="1" applyFill="1" applyBorder="1" applyAlignment="1">
      <alignment horizontal="center" vertical="center"/>
    </xf>
    <xf numFmtId="0" fontId="8" fillId="20" borderId="17" xfId="1" applyFont="1" applyFill="1" applyBorder="1" applyAlignment="1">
      <alignment horizontal="center" vertical="center"/>
    </xf>
    <xf numFmtId="0" fontId="8" fillId="20" borderId="10" xfId="1" applyFont="1" applyFill="1" applyBorder="1" applyAlignment="1">
      <alignment horizontal="center" vertical="center"/>
    </xf>
    <xf numFmtId="0" fontId="8" fillId="20" borderId="18" xfId="1" applyFont="1" applyFill="1" applyBorder="1" applyAlignment="1">
      <alignment horizontal="center" vertical="center"/>
    </xf>
    <xf numFmtId="0" fontId="8" fillId="20" borderId="20" xfId="1" applyFont="1" applyFill="1" applyBorder="1" applyAlignment="1">
      <alignment horizontal="center" vertical="center"/>
    </xf>
    <xf numFmtId="0" fontId="4" fillId="21" borderId="16" xfId="0" applyFont="1" applyFill="1" applyBorder="1" applyAlignment="1">
      <alignment horizontal="center" vertical="center"/>
    </xf>
    <xf numFmtId="0" fontId="4" fillId="21" borderId="19" xfId="0" applyFont="1" applyFill="1" applyBorder="1" applyAlignment="1">
      <alignment horizontal="center" vertical="center"/>
    </xf>
    <xf numFmtId="0" fontId="5" fillId="22" borderId="17" xfId="0" applyFont="1" applyFill="1" applyBorder="1" applyAlignment="1">
      <alignment horizontal="center" vertical="center"/>
    </xf>
    <xf numFmtId="0" fontId="5" fillId="22" borderId="18" xfId="0" applyFont="1" applyFill="1" applyBorder="1" applyAlignment="1">
      <alignment horizontal="center" vertical="center"/>
    </xf>
    <xf numFmtId="0" fontId="5" fillId="22" borderId="10" xfId="0" applyFont="1" applyFill="1" applyBorder="1" applyAlignment="1">
      <alignment horizontal="center" vertical="center"/>
    </xf>
    <xf numFmtId="0" fontId="5" fillId="22" borderId="20" xfId="0" applyFont="1" applyFill="1" applyBorder="1" applyAlignment="1">
      <alignment horizontal="center" vertical="center"/>
    </xf>
    <xf numFmtId="0" fontId="3" fillId="3" borderId="8" xfId="2" applyBorder="1" applyAlignment="1">
      <alignment horizontal="center"/>
    </xf>
    <xf numFmtId="0" fontId="3" fillId="3" borderId="7" xfId="2" applyBorder="1" applyAlignment="1">
      <alignment horizontal="center"/>
    </xf>
    <xf numFmtId="0" fontId="3" fillId="3" borderId="6" xfId="2" applyBorder="1" applyAlignment="1">
      <alignment horizontal="center"/>
    </xf>
    <xf numFmtId="0" fontId="3" fillId="16" borderId="8" xfId="15" applyBorder="1" applyAlignment="1">
      <alignment horizontal="center"/>
    </xf>
    <xf numFmtId="0" fontId="3" fillId="16" borderId="7" xfId="15" applyBorder="1" applyAlignment="1">
      <alignment horizontal="center"/>
    </xf>
    <xf numFmtId="0" fontId="3" fillId="16" borderId="6" xfId="15" applyBorder="1" applyAlignment="1">
      <alignment horizontal="center"/>
    </xf>
    <xf numFmtId="0" fontId="3" fillId="12" borderId="8" xfId="11" applyBorder="1" applyAlignment="1">
      <alignment horizontal="center"/>
    </xf>
    <xf numFmtId="0" fontId="3" fillId="12" borderId="7" xfId="11" applyBorder="1" applyAlignment="1">
      <alignment horizontal="center"/>
    </xf>
    <xf numFmtId="0" fontId="3" fillId="12" borderId="6" xfId="11" applyBorder="1" applyAlignment="1">
      <alignment horizontal="center"/>
    </xf>
    <xf numFmtId="0" fontId="4" fillId="24" borderId="16" xfId="0" applyFont="1" applyFill="1" applyBorder="1" applyAlignment="1">
      <alignment horizontal="center" vertical="center"/>
    </xf>
    <xf numFmtId="0" fontId="4" fillId="24" borderId="22" xfId="0" applyFont="1" applyFill="1" applyBorder="1" applyAlignment="1">
      <alignment horizontal="center" vertical="center"/>
    </xf>
    <xf numFmtId="0" fontId="15" fillId="25" borderId="18" xfId="0" applyFont="1" applyFill="1" applyBorder="1" applyAlignment="1">
      <alignment horizontal="center" vertical="center"/>
    </xf>
    <xf numFmtId="0" fontId="15" fillId="25" borderId="21" xfId="0" applyFont="1" applyFill="1" applyBorder="1" applyAlignment="1">
      <alignment horizontal="center" vertical="center"/>
    </xf>
    <xf numFmtId="0" fontId="3" fillId="10" borderId="15" xfId="9" applyBorder="1" applyAlignment="1">
      <alignment horizontal="center"/>
    </xf>
    <xf numFmtId="0" fontId="3" fillId="10" borderId="14" xfId="9" applyBorder="1" applyAlignment="1">
      <alignment horizontal="center"/>
    </xf>
    <xf numFmtId="0" fontId="3" fillId="10" borderId="13" xfId="9" applyBorder="1" applyAlignment="1">
      <alignment horizontal="center"/>
    </xf>
    <xf numFmtId="0" fontId="7" fillId="2" borderId="16" xfId="1" applyFont="1" applyBorder="1" applyAlignment="1">
      <alignment horizontal="center" vertical="center"/>
    </xf>
    <xf numFmtId="0" fontId="7" fillId="2" borderId="19" xfId="1" applyFont="1" applyBorder="1" applyAlignment="1">
      <alignment horizontal="center" vertical="center"/>
    </xf>
    <xf numFmtId="0" fontId="7" fillId="2" borderId="17" xfId="1" applyFont="1" applyBorder="1" applyAlignment="1">
      <alignment horizontal="center" vertical="center"/>
    </xf>
    <xf numFmtId="0" fontId="7" fillId="2" borderId="10" xfId="1" applyFont="1" applyBorder="1" applyAlignment="1">
      <alignment horizontal="center" vertical="center"/>
    </xf>
    <xf numFmtId="0" fontId="7" fillId="2" borderId="18" xfId="1" applyFont="1" applyBorder="1" applyAlignment="1">
      <alignment horizontal="center" vertical="center"/>
    </xf>
    <xf numFmtId="0" fontId="7" fillId="2" borderId="20" xfId="1" applyFont="1" applyBorder="1" applyAlignment="1">
      <alignment horizontal="center" vertical="center"/>
    </xf>
    <xf numFmtId="0" fontId="4" fillId="24" borderId="19" xfId="0" applyFont="1" applyFill="1" applyBorder="1" applyAlignment="1">
      <alignment horizontal="center" vertical="center"/>
    </xf>
    <xf numFmtId="0" fontId="15" fillId="25" borderId="20" xfId="0" applyFont="1" applyFill="1" applyBorder="1" applyAlignment="1">
      <alignment horizontal="center" vertical="center"/>
    </xf>
    <xf numFmtId="0" fontId="11" fillId="30" borderId="16" xfId="19" applyFont="1" applyFill="1" applyBorder="1" applyAlignment="1">
      <alignment horizontal="center" vertical="center"/>
    </xf>
    <xf numFmtId="0" fontId="11" fillId="30" borderId="24" xfId="19" applyFont="1" applyFill="1" applyBorder="1" applyAlignment="1">
      <alignment horizontal="center" vertical="center"/>
    </xf>
    <xf numFmtId="0" fontId="12" fillId="30" borderId="18" xfId="19" applyFont="1" applyFill="1" applyBorder="1" applyAlignment="1">
      <alignment horizontal="center" vertical="center"/>
    </xf>
    <xf numFmtId="0" fontId="12" fillId="30" borderId="25" xfId="19" applyFont="1" applyFill="1" applyBorder="1" applyAlignment="1">
      <alignment horizontal="center" vertical="center"/>
    </xf>
    <xf numFmtId="0" fontId="13" fillId="31" borderId="26" xfId="19" applyFont="1" applyFill="1" applyBorder="1" applyAlignment="1">
      <alignment horizontal="center" vertical="center"/>
    </xf>
    <xf numFmtId="0" fontId="13" fillId="31" borderId="19" xfId="19" applyFont="1" applyFill="1" applyBorder="1" applyAlignment="1">
      <alignment horizontal="center" vertical="center"/>
    </xf>
    <xf numFmtId="0" fontId="14" fillId="31" borderId="27" xfId="19" applyFont="1" applyFill="1" applyBorder="1" applyAlignment="1">
      <alignment horizontal="center" vertical="center"/>
    </xf>
    <xf numFmtId="0" fontId="14" fillId="31" borderId="20" xfId="19" applyFont="1" applyFill="1" applyBorder="1" applyAlignment="1">
      <alignment horizontal="center" vertical="center"/>
    </xf>
  </cellXfs>
  <cellStyles count="24">
    <cellStyle name="20% - Accent1" xfId="3" builtinId="30"/>
    <cellStyle name="20% - Accent2" xfId="6" builtinId="34"/>
    <cellStyle name="20% - Accent4" xfId="12" builtinId="42"/>
    <cellStyle name="20% - Accent5" xfId="21" builtinId="46"/>
    <cellStyle name="20% - Accent6" xfId="16" builtinId="50"/>
    <cellStyle name="40% - Accent1" xfId="4" builtinId="31"/>
    <cellStyle name="40% - Accent2" xfId="7" builtinId="35"/>
    <cellStyle name="40% - Accent4" xfId="13" builtinId="43"/>
    <cellStyle name="40% - Accent6" xfId="17" builtinId="51"/>
    <cellStyle name="60% - Accent2" xfId="8" builtinId="36"/>
    <cellStyle name="60% - Accent3" xfId="10" builtinId="40"/>
    <cellStyle name="60% - Accent4" xfId="14" builtinId="44"/>
    <cellStyle name="60% - Accent5" xfId="22" builtinId="48"/>
    <cellStyle name="60% - Accent6" xfId="18" builtinId="52"/>
    <cellStyle name="Accent1" xfId="2" builtinId="29"/>
    <cellStyle name="Accent2" xfId="5" builtinId="33"/>
    <cellStyle name="Accent3" xfId="9" builtinId="37"/>
    <cellStyle name="Accent4" xfId="11" builtinId="41"/>
    <cellStyle name="Accent5" xfId="20" builtinId="45"/>
    <cellStyle name="Accent6" xfId="15" builtinId="49"/>
    <cellStyle name="Bad" xfId="1" builtinId="27"/>
    <cellStyle name="Input" xfId="19" builtinId="20"/>
    <cellStyle name="Neutral" xfId="23" builtinId="28"/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66675</xdr:rowOff>
        </xdr:from>
        <xdr:to>
          <xdr:col>9</xdr:col>
          <xdr:colOff>38100</xdr:colOff>
          <xdr:row>13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13</xdr:row>
          <xdr:rowOff>76200</xdr:rowOff>
        </xdr:from>
        <xdr:to>
          <xdr:col>8</xdr:col>
          <xdr:colOff>390525</xdr:colOff>
          <xdr:row>15</xdr:row>
          <xdr:rowOff>161925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B3:E8" headerRowCellStyle="60% - Accent2">
  <autoFilter ref="B3:E8"/>
  <sortState ref="B4:G12">
    <sortCondition descending="1" ref="G3:G12"/>
  </sortState>
  <tableColumns count="4">
    <tableColumn id="1" name="Name" totalsRowLabel="Total"/>
    <tableColumn id="2" name="cur HP"/>
    <tableColumn id="3" name="max HP" totalsRowFunction="count"/>
    <tableColumn id="5" name="Iniciative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id="3" name="BuffTable" displayName="BuffTable" ref="N3:P6" totalsRowShown="0" headerRowCellStyle="60% - Accent6">
  <autoFilter ref="N3:P6"/>
  <tableColumns count="3">
    <tableColumn id="1" name="Character"/>
    <tableColumn id="2" name="Buff/Debuf"/>
    <tableColumn id="3" name="Duration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id="11" name="Table11" displayName="Table11" ref="K4:L13" headerRowCount="0" totalsRowShown="0" headerRowDxfId="7" dataDxfId="6">
  <tableColumns count="2">
    <tableColumn id="1" name="Column1" dataDxfId="5"/>
    <tableColumn id="2" name="Column2" dataDxfId="4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id="6" name="Table57" displayName="Table57" ref="L3:O6" headerRowCount="0" totalsRowShown="0">
  <tableColumns count="4">
    <tableColumn id="1" name="Column1" dataDxfId="3"/>
    <tableColumn id="2" name="Column2" dataDxfId="2"/>
    <tableColumn id="3" name="Column3" dataDxfId="1"/>
    <tableColumn id="4" name="Column4" dataDxfId="0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3.xml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V21"/>
  <sheetViews>
    <sheetView showGridLines="0" tabSelected="1" zoomScale="115" zoomScaleNormal="115" workbookViewId="0">
      <selection activeCell="C14" sqref="C14"/>
    </sheetView>
  </sheetViews>
  <sheetFormatPr defaultRowHeight="15" x14ac:dyDescent="0.25"/>
  <cols>
    <col min="1" max="1" width="1.7109375" customWidth="1"/>
    <col min="2" max="2" width="19.28515625" customWidth="1"/>
    <col min="3" max="3" width="8.5703125" customWidth="1"/>
    <col min="4" max="4" width="9.5703125" customWidth="1"/>
    <col min="5" max="5" width="11.42578125" bestFit="1" customWidth="1"/>
    <col min="6" max="6" width="1.140625" customWidth="1"/>
    <col min="7" max="7" width="6.42578125" customWidth="1"/>
    <col min="8" max="8" width="8" customWidth="1"/>
    <col min="9" max="9" width="6.140625" customWidth="1"/>
    <col min="10" max="10" width="2" customWidth="1"/>
    <col min="11" max="11" width="9.140625" bestFit="1" customWidth="1"/>
    <col min="12" max="12" width="5.5703125" bestFit="1" customWidth="1"/>
    <col min="13" max="13" width="1.7109375" customWidth="1"/>
    <col min="14" max="14" width="11.7109375" bestFit="1" customWidth="1"/>
    <col min="15" max="15" width="13.28515625" bestFit="1" customWidth="1"/>
    <col min="16" max="16" width="11" bestFit="1" customWidth="1"/>
    <col min="17" max="17" width="1.42578125" customWidth="1"/>
    <col min="18" max="19" width="9.140625" customWidth="1"/>
    <col min="20" max="20" width="1.28515625" customWidth="1"/>
    <col min="21" max="21" width="5.85546875" customWidth="1"/>
    <col min="22" max="22" width="6.42578125" customWidth="1"/>
  </cols>
  <sheetData>
    <row r="1" spans="2:22" ht="9" customHeight="1" thickBot="1" x14ac:dyDescent="0.3"/>
    <row r="2" spans="2:22" ht="15" customHeight="1" x14ac:dyDescent="0.3">
      <c r="B2" s="58" t="s">
        <v>0</v>
      </c>
      <c r="C2" s="58"/>
      <c r="D2" s="58"/>
      <c r="E2" s="58"/>
      <c r="G2" s="59">
        <v>15</v>
      </c>
      <c r="H2" s="60"/>
      <c r="I2" s="61"/>
      <c r="K2" s="57" t="s">
        <v>4</v>
      </c>
      <c r="L2" s="57"/>
      <c r="N2" s="68" t="s">
        <v>19</v>
      </c>
      <c r="O2" s="68"/>
      <c r="P2" s="68"/>
      <c r="R2" s="69" t="s">
        <v>55</v>
      </c>
      <c r="S2" s="70"/>
      <c r="U2" s="51" t="s">
        <v>60</v>
      </c>
      <c r="V2" s="52">
        <v>1</v>
      </c>
    </row>
    <row r="3" spans="2:22" ht="15" customHeight="1" x14ac:dyDescent="0.3">
      <c r="B3" s="1" t="s">
        <v>1</v>
      </c>
      <c r="C3" s="1" t="s">
        <v>2</v>
      </c>
      <c r="D3" s="1" t="s">
        <v>3</v>
      </c>
      <c r="E3" s="1" t="s">
        <v>54</v>
      </c>
      <c r="G3" s="62"/>
      <c r="H3" s="63"/>
      <c r="I3" s="64"/>
      <c r="K3" s="44" t="s">
        <v>6</v>
      </c>
      <c r="L3" s="44" t="s">
        <v>5</v>
      </c>
      <c r="N3" s="3" t="s">
        <v>17</v>
      </c>
      <c r="O3" s="3" t="s">
        <v>18</v>
      </c>
      <c r="P3" s="3" t="s">
        <v>20</v>
      </c>
      <c r="R3" s="49" t="s">
        <v>56</v>
      </c>
      <c r="S3" s="50" t="s">
        <v>57</v>
      </c>
      <c r="U3" s="53" t="s">
        <v>61</v>
      </c>
      <c r="V3" s="54">
        <v>2</v>
      </c>
    </row>
    <row r="4" spans="2:22" ht="15" customHeight="1" x14ac:dyDescent="0.3">
      <c r="G4" s="62"/>
      <c r="H4" s="63"/>
      <c r="I4" s="64"/>
      <c r="K4" s="42">
        <v>1</v>
      </c>
      <c r="L4" s="42" t="s">
        <v>7</v>
      </c>
      <c r="O4" s="47"/>
      <c r="R4" s="71"/>
      <c r="S4" s="72"/>
      <c r="U4" s="53" t="s">
        <v>62</v>
      </c>
      <c r="V4" s="54">
        <v>6</v>
      </c>
    </row>
    <row r="5" spans="2:22" ht="15" customHeight="1" x14ac:dyDescent="0.3">
      <c r="G5" s="62"/>
      <c r="H5" s="63"/>
      <c r="I5" s="64"/>
      <c r="K5" s="42">
        <v>2</v>
      </c>
      <c r="L5" s="42" t="s">
        <v>8</v>
      </c>
      <c r="R5" s="71"/>
      <c r="S5" s="72"/>
      <c r="U5" s="53" t="s">
        <v>63</v>
      </c>
      <c r="V5" s="54">
        <v>7</v>
      </c>
    </row>
    <row r="6" spans="2:22" ht="15" customHeight="1" x14ac:dyDescent="0.3">
      <c r="G6" s="62"/>
      <c r="H6" s="63"/>
      <c r="I6" s="64"/>
      <c r="K6" s="42">
        <v>3</v>
      </c>
      <c r="L6" s="42" t="s">
        <v>9</v>
      </c>
      <c r="R6" s="49" t="s">
        <v>59</v>
      </c>
      <c r="S6" s="50" t="s">
        <v>58</v>
      </c>
      <c r="U6" s="53" t="s">
        <v>64</v>
      </c>
      <c r="V6" s="54">
        <v>4</v>
      </c>
    </row>
    <row r="7" spans="2:22" ht="15" customHeight="1" thickBot="1" x14ac:dyDescent="0.35">
      <c r="G7" s="65"/>
      <c r="H7" s="66"/>
      <c r="I7" s="67"/>
      <c r="K7" s="42">
        <v>4</v>
      </c>
      <c r="L7" s="42" t="s">
        <v>10</v>
      </c>
      <c r="R7" s="71"/>
      <c r="S7" s="72"/>
      <c r="U7" s="53" t="s">
        <v>65</v>
      </c>
      <c r="V7" s="54">
        <v>12</v>
      </c>
    </row>
    <row r="8" spans="2:22" ht="15" customHeight="1" thickBot="1" x14ac:dyDescent="0.35">
      <c r="K8" s="42">
        <v>5</v>
      </c>
      <c r="L8" s="42" t="s">
        <v>11</v>
      </c>
      <c r="R8" s="73"/>
      <c r="S8" s="74"/>
      <c r="U8" s="53" t="s">
        <v>66</v>
      </c>
      <c r="V8" s="54">
        <v>18</v>
      </c>
    </row>
    <row r="9" spans="2:22" ht="15" customHeight="1" thickBot="1" x14ac:dyDescent="0.35">
      <c r="K9" s="42">
        <v>6</v>
      </c>
      <c r="L9" s="42" t="s">
        <v>12</v>
      </c>
      <c r="U9" s="55" t="s">
        <v>67</v>
      </c>
      <c r="V9" s="56">
        <v>6</v>
      </c>
    </row>
    <row r="10" spans="2:22" ht="15" customHeight="1" x14ac:dyDescent="0.25">
      <c r="K10" s="42">
        <v>7</v>
      </c>
      <c r="L10" s="42" t="s">
        <v>13</v>
      </c>
    </row>
    <row r="11" spans="2:22" x14ac:dyDescent="0.25">
      <c r="K11" s="42">
        <v>8</v>
      </c>
      <c r="L11" s="42" t="s">
        <v>14</v>
      </c>
    </row>
    <row r="12" spans="2:22" x14ac:dyDescent="0.25">
      <c r="K12" s="42">
        <v>9</v>
      </c>
      <c r="L12" s="42" t="s">
        <v>15</v>
      </c>
    </row>
    <row r="13" spans="2:22" x14ac:dyDescent="0.25">
      <c r="K13" s="48">
        <v>10</v>
      </c>
      <c r="L13" s="48" t="s">
        <v>16</v>
      </c>
    </row>
    <row r="14" spans="2:22" ht="15" customHeight="1" x14ac:dyDescent="0.25">
      <c r="G14" s="2"/>
    </row>
    <row r="15" spans="2:22" ht="15" customHeight="1" x14ac:dyDescent="0.25"/>
    <row r="16" spans="2:22" ht="15" customHeight="1" x14ac:dyDescent="0.25"/>
    <row r="17" spans="2:2" ht="15" customHeight="1" x14ac:dyDescent="0.25"/>
    <row r="18" spans="2:2" ht="15" customHeight="1" x14ac:dyDescent="0.25"/>
    <row r="19" spans="2:2" ht="15" customHeight="1" x14ac:dyDescent="0.25"/>
    <row r="20" spans="2:2" ht="15" customHeight="1" x14ac:dyDescent="0.25">
      <c r="B20" s="2"/>
    </row>
    <row r="21" spans="2:2" ht="15" customHeight="1" x14ac:dyDescent="0.25">
      <c r="B21" s="2"/>
    </row>
  </sheetData>
  <mergeCells count="9">
    <mergeCell ref="K2:L2"/>
    <mergeCell ref="B2:E2"/>
    <mergeCell ref="G2:I7"/>
    <mergeCell ref="N2:P2"/>
    <mergeCell ref="R2:S2"/>
    <mergeCell ref="R4:R5"/>
    <mergeCell ref="S4:S5"/>
    <mergeCell ref="R7:R8"/>
    <mergeCell ref="S7:S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6</xdr:col>
                <xdr:colOff>28575</xdr:colOff>
                <xdr:row>13</xdr:row>
                <xdr:rowOff>76200</xdr:rowOff>
              </from>
              <to>
                <xdr:col>8</xdr:col>
                <xdr:colOff>390525</xdr:colOff>
                <xdr:row>15</xdr:row>
                <xdr:rowOff>161925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 sizeWithCells="1">
              <from>
                <xdr:col>6</xdr:col>
                <xdr:colOff>0</xdr:colOff>
                <xdr:row>7</xdr:row>
                <xdr:rowOff>66675</xdr:rowOff>
              </from>
              <to>
                <xdr:col>9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  <tableParts count="3"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26"/>
  <sheetViews>
    <sheetView showGridLines="0" workbookViewId="0">
      <selection activeCell="J26" sqref="J26"/>
    </sheetView>
  </sheetViews>
  <sheetFormatPr defaultRowHeight="15" x14ac:dyDescent="0.25"/>
  <cols>
    <col min="1" max="1" width="2" customWidth="1"/>
    <col min="2" max="2" width="10.7109375" bestFit="1" customWidth="1"/>
    <col min="6" max="6" width="3.140625" customWidth="1"/>
    <col min="7" max="7" width="18.140625" bestFit="1" customWidth="1"/>
    <col min="8" max="8" width="10.42578125" customWidth="1"/>
    <col min="9" max="9" width="2.42578125" customWidth="1"/>
    <col min="10" max="10" width="11" customWidth="1"/>
    <col min="12" max="12" width="19.85546875" bestFit="1" customWidth="1"/>
    <col min="13" max="13" width="44.42578125" customWidth="1"/>
    <col min="14" max="15" width="11" customWidth="1"/>
  </cols>
  <sheetData>
    <row r="1" spans="2:15" ht="10.5" customHeight="1" thickBot="1" x14ac:dyDescent="0.3"/>
    <row r="2" spans="2:15" ht="15.75" customHeight="1" thickTop="1" x14ac:dyDescent="0.3">
      <c r="B2" s="114" t="s">
        <v>32</v>
      </c>
      <c r="C2" s="115"/>
      <c r="D2" s="115"/>
      <c r="E2" s="116"/>
      <c r="G2" s="117" t="s">
        <v>21</v>
      </c>
      <c r="H2" s="119"/>
      <c r="I2" s="119" t="s">
        <v>22</v>
      </c>
      <c r="J2" s="121"/>
      <c r="L2" s="30" t="s">
        <v>27</v>
      </c>
      <c r="M2" s="30" t="s">
        <v>28</v>
      </c>
      <c r="N2" s="30" t="s">
        <v>6</v>
      </c>
      <c r="O2" s="46" t="s">
        <v>29</v>
      </c>
    </row>
    <row r="3" spans="2:15" ht="15.75" customHeight="1" thickBot="1" x14ac:dyDescent="0.3">
      <c r="B3" s="29" t="s">
        <v>1</v>
      </c>
      <c r="C3" s="28" t="s">
        <v>33</v>
      </c>
      <c r="D3" s="28" t="s">
        <v>34</v>
      </c>
      <c r="E3" s="27" t="s">
        <v>5</v>
      </c>
      <c r="G3" s="118"/>
      <c r="H3" s="120"/>
      <c r="I3" s="120"/>
      <c r="J3" s="122"/>
      <c r="L3" s="43"/>
      <c r="M3" s="42"/>
      <c r="N3" s="42"/>
      <c r="O3" s="42"/>
    </row>
    <row r="4" spans="2:15" ht="15" customHeight="1" x14ac:dyDescent="0.25">
      <c r="B4" s="86" t="s">
        <v>35</v>
      </c>
      <c r="C4" s="87"/>
      <c r="D4" s="87"/>
      <c r="E4" s="88"/>
      <c r="G4" s="89" t="s">
        <v>23</v>
      </c>
      <c r="H4" s="91"/>
      <c r="I4" s="91" t="s">
        <v>22</v>
      </c>
      <c r="J4" s="93"/>
      <c r="L4" s="43"/>
      <c r="M4" s="42"/>
      <c r="N4" s="42"/>
      <c r="O4" s="42"/>
    </row>
    <row r="5" spans="2:15" ht="15.75" customHeight="1" thickBot="1" x14ac:dyDescent="0.3">
      <c r="B5" s="32" t="s">
        <v>25</v>
      </c>
      <c r="C5" s="23"/>
      <c r="D5" s="23"/>
      <c r="E5" s="26" t="str">
        <f>IF(C5 + D5 &lt;= 1, "1d4", IF(C5 + D5 = 2, "1d6", IF(C5 + D5 = 3, "1d8", IF(C5 + D5 = 4, "1d10", IF(C5 + D5 = 5, "2d6", IF(C5 + D5 = 6, "2d8", IF(C5 + D5 = 7, "2d10", IF(C5 + D5 = 8, "3d8", IF(C5 + D5 = 9, "3d10", IF(C5 + D5 = 10, "4d8", ))))))))))</f>
        <v>1d4</v>
      </c>
      <c r="G5" s="90"/>
      <c r="H5" s="92"/>
      <c r="I5" s="92"/>
      <c r="J5" s="94"/>
      <c r="L5" s="43"/>
      <c r="M5" s="42"/>
      <c r="N5" s="42"/>
      <c r="O5" s="42"/>
    </row>
    <row r="6" spans="2:15" ht="15.75" thickBot="1" x14ac:dyDescent="0.3">
      <c r="B6" s="31" t="s">
        <v>30</v>
      </c>
      <c r="C6" s="25"/>
      <c r="D6" s="25"/>
      <c r="E6" s="24" t="str">
        <f>IF(C6 + D6 &lt;= 1, "1d4", IF(C6 + D6 = 2, "1d6", IF(C6 + D6 = 3, "1d8", IF(C6 + D6 = 4, "1d10", IF(C6 + D6 = 5, "2d6", IF(C6 + D6 = 6, "2d8", IF(C6 + D6 = 7, "2d10", IF(C6 + D6 = 8, "3d8", IF(C6 + D6 = 9, "3d10", IF(C6 + D6 = 10, "4d8", ))))))))))</f>
        <v>1d4</v>
      </c>
      <c r="L6" s="43"/>
      <c r="M6" s="42"/>
      <c r="N6" s="42"/>
      <c r="O6" s="42"/>
    </row>
    <row r="7" spans="2:15" ht="15.75" customHeight="1" thickBot="1" x14ac:dyDescent="0.3">
      <c r="B7" s="33" t="s">
        <v>31</v>
      </c>
      <c r="C7" s="22"/>
      <c r="D7" s="22"/>
      <c r="E7" s="21" t="str">
        <f>IF(C7 + D7 &lt;= 1, "1d4", IF(C7 + D7 = 2, "1d6", IF(C7 + D7 = 3, "1d8", IF(C7 + D7 = 4, "1d10", IF(C7 + D7 = 5, "2d6", IF(C7 + D7 = 6, "2d8", IF(C7 + D7 = 7, "2d10", IF(C7 + D7 = 8, "3d8", IF(C7 + D7 = 9, "3d10", IF(C7 + D7 = 10, "4d8", ))))))))))</f>
        <v>1d4</v>
      </c>
      <c r="G7" s="95" t="s">
        <v>24</v>
      </c>
      <c r="H7" s="97"/>
      <c r="I7" s="97"/>
      <c r="J7" s="98"/>
      <c r="L7" s="43"/>
      <c r="M7" s="42"/>
      <c r="N7" s="42"/>
      <c r="O7" s="42"/>
    </row>
    <row r="8" spans="2:15" ht="15.75" customHeight="1" thickBot="1" x14ac:dyDescent="0.3">
      <c r="B8" s="101" t="s">
        <v>36</v>
      </c>
      <c r="C8" s="102"/>
      <c r="D8" s="102"/>
      <c r="E8" s="103"/>
      <c r="G8" s="96"/>
      <c r="H8" s="99"/>
      <c r="I8" s="99"/>
      <c r="J8" s="100"/>
      <c r="L8" s="43"/>
      <c r="M8" s="42"/>
      <c r="N8" s="42"/>
      <c r="O8" s="42"/>
    </row>
    <row r="9" spans="2:15" ht="15.75" thickBot="1" x14ac:dyDescent="0.3">
      <c r="B9" s="20" t="str">
        <f>IF(L24 = 0,"Learning","Aprendizado")</f>
        <v>Learning</v>
      </c>
      <c r="C9" s="19"/>
      <c r="D9" s="19"/>
      <c r="E9" s="18" t="str">
        <f>IF(C9 + D9 &lt;= 1, "1d4", IF(C9 + D9 = 2, "1d6", IF(C9 + D9 = 3, "1d8", IF(C9 + D9 = 4, "1d10", IF(C9 + D9 = 5, "2d6", IF(C9 + D9 = 6, "2d8", IF(C9 + D9 = 7, "2d10", IF(C9 + D9 = 8, "3d8", IF(C9 + D9 = 9, "3d10", IF(C9 + D9 = 10, "4d8", ))))))))))</f>
        <v>1d4</v>
      </c>
      <c r="L9" s="43"/>
      <c r="M9" s="42"/>
      <c r="N9" s="42"/>
      <c r="O9" s="42"/>
    </row>
    <row r="10" spans="2:15" x14ac:dyDescent="0.25">
      <c r="B10" s="34" t="s">
        <v>37</v>
      </c>
      <c r="C10" s="17"/>
      <c r="D10" s="17"/>
      <c r="E10" s="16" t="str">
        <f>IF(C10 + D10 &lt;= 1, "1d4", IF(C10 + D10 = 2, "1d6", IF(C10 + D10 = 3, "1d8", IF(C10 + D10 = 4, "1d10", IF(C10 + D10 = 5, "2d6", IF(C10 + D10 = 6, "2d8", IF(C10 + D10 = 7, "2d10", IF(C10 + D10 = 8, "3d8", IF(C10 + D10 = 9, "3d10", IF(C10 + D10 = 10, "4d8", ))))))))))</f>
        <v>1d4</v>
      </c>
      <c r="G10" s="110" t="s">
        <v>52</v>
      </c>
      <c r="H10" s="112"/>
      <c r="L10" s="43"/>
      <c r="M10" s="42"/>
      <c r="N10" s="42"/>
      <c r="O10" s="42"/>
    </row>
    <row r="11" spans="2:15" x14ac:dyDescent="0.25">
      <c r="B11" s="35" t="s">
        <v>38</v>
      </c>
      <c r="C11" s="19"/>
      <c r="D11" s="19"/>
      <c r="E11" s="18" t="str">
        <f>IF(C11 + D11 &lt;= 1, "1d4", IF(C11 + D11 = 2, "1d6", IF(C11 + D11 = 3, "1d8", IF(C11 + D11 = 4, "1d10", IF(C11 + D11 = 5, "2d6", IF(C11 + D11 = 6, "2d8", IF(C11 + D11 = 7, "2d10", IF(C11 + D11 = 8, "3d8", IF(C11 + D11 = 9, "3d10", IF(C11 + D11 = 10, "4d8", ))))))))))</f>
        <v>1d4</v>
      </c>
      <c r="G11" s="111"/>
      <c r="H11" s="113"/>
      <c r="L11" s="43"/>
      <c r="M11" s="42"/>
      <c r="N11" s="42"/>
      <c r="O11" s="42"/>
    </row>
    <row r="12" spans="2:15" ht="15.75" thickBot="1" x14ac:dyDescent="0.3">
      <c r="B12" s="34" t="s">
        <v>39</v>
      </c>
      <c r="C12" s="17"/>
      <c r="D12" s="17"/>
      <c r="E12" s="16" t="str">
        <f>IF(C12 + D12 &lt;= 1, "1d4", IF(C12 + D12 = 2, "1d6", IF(C12 + D12 = 3, "1d8", IF(C12 + D12 = 4, "1d10", IF(C12 + D12 = 5, "2d6", IF(C12 + D12 = 6, "2d8", IF(C12 + D12 = 7, "2d10", IF(C12 + D12 = 8, "3d8", IF(C12 + D12 = 9, "3d10", IF(C12 + D12 = 10, "4d8", ))))))))))</f>
        <v>1d4</v>
      </c>
      <c r="G12" s="111" t="s">
        <v>53</v>
      </c>
      <c r="H12" s="113"/>
      <c r="L12" s="43"/>
      <c r="M12" s="42"/>
      <c r="N12" s="42"/>
      <c r="O12" s="42"/>
    </row>
    <row r="13" spans="2:15" ht="15.75" thickBot="1" x14ac:dyDescent="0.3">
      <c r="B13" s="104" t="s">
        <v>40</v>
      </c>
      <c r="C13" s="105"/>
      <c r="D13" s="105"/>
      <c r="E13" s="106"/>
      <c r="G13" s="123"/>
      <c r="H13" s="124"/>
    </row>
    <row r="14" spans="2:15" ht="15.75" thickBot="1" x14ac:dyDescent="0.3">
      <c r="B14" s="36" t="s">
        <v>41</v>
      </c>
      <c r="C14" s="15"/>
      <c r="D14" s="15"/>
      <c r="E14" s="14" t="str">
        <f>IF(C14 + D14 &lt;= 1, "1d4", IF(C14 + D14 = 2, "1d6", IF(C14 + D14 = 3, "1d8", IF(C14 + D14 = 4, "1d10", IF(C14 + D14 = 5, "2d6", IF(C14 + D14 = 6, "2d8", IF(C14 + D14 = 7, "2d10", IF(C14 + D14 = 8, "3d8", IF(C14 + D14 = 9, "3d10", IF(C14 + D14 = 10, "4d8", ))))))))))</f>
        <v>1d4</v>
      </c>
    </row>
    <row r="15" spans="2:15" ht="15" customHeight="1" x14ac:dyDescent="0.25">
      <c r="B15" s="37" t="s">
        <v>42</v>
      </c>
      <c r="C15" s="13"/>
      <c r="D15" s="13"/>
      <c r="E15" s="12" t="str">
        <f>IF(C15 + D15 &lt;= 1, "1d4", IF(C15 + D15 = 2, "1d6", IF(C15 + D15 = 3, "1d8", IF(C15 + D15 = 4, "1d10", IF(C15 + D15 = 5, "2d6", IF(C15 + D15 = 6, "2d8", IF(C15 + D15 = 7, "2d10", IF(C15 + D15 = 8, "3d8", IF(C15 + D15 = 9, "3d10", IF(C15 + D15 = 10, "4d8", ))))))))))</f>
        <v>1d4</v>
      </c>
      <c r="G15" s="125" t="str">
        <f>IF(H27 = 0, "GUARD", "GUARD")</f>
        <v>GUARD</v>
      </c>
      <c r="H15" s="127"/>
    </row>
    <row r="16" spans="2:15" ht="15.75" customHeight="1" thickBot="1" x14ac:dyDescent="0.3">
      <c r="B16" s="38" t="s">
        <v>43</v>
      </c>
      <c r="C16" s="11"/>
      <c r="D16" s="11"/>
      <c r="E16" s="10" t="str">
        <f>IF(C16 + D16 &lt;= 1, "1d4", IF(C16 + D16 = 2, "1d6", IF(C16 + D16 = 3, "1d8", IF(C16 + D16 = 4, "1d10", IF(C16 + D16 = 5, "2d6", IF(C16 + D16 = 6, "2d8", IF(C16 + D16 = 7, "2d10", IF(C16 + D16 = 8, "3d8", IF(C16 + D16 = 9, "3d10", IF(C16 + D16 = 10, "4d8", ))))))))))</f>
        <v>1d4</v>
      </c>
      <c r="G16" s="126"/>
      <c r="H16" s="128"/>
    </row>
    <row r="17" spans="2:10" ht="15" customHeight="1" x14ac:dyDescent="0.25">
      <c r="B17" s="107" t="s">
        <v>51</v>
      </c>
      <c r="C17" s="108"/>
      <c r="D17" s="108"/>
      <c r="E17" s="109"/>
      <c r="G17" s="129" t="str">
        <f>IF(H27 = 0, "DODGE", "EVASÃO")</f>
        <v>DODGE</v>
      </c>
      <c r="H17" s="131"/>
    </row>
    <row r="18" spans="2:10" ht="15.75" customHeight="1" thickBot="1" x14ac:dyDescent="0.3">
      <c r="B18" s="39" t="s">
        <v>44</v>
      </c>
      <c r="C18" s="7"/>
      <c r="D18" s="7"/>
      <c r="E18" s="6" t="str">
        <f t="shared" ref="E18:E25" si="0">IF(C18 + D18 &lt;= 1, "1d4", IF(C18 + D18 = 2, "1d6", IF(C18 + D18 = 3, "1d8", IF(C18 + D18 = 4, "1d10", IF(C18 + D18 = 5, "2d6", IF(C18 + D18 = 6, "2d8", IF(C18 + D18 = 7, "2d10", IF(C18 + D18 = 8, "3d8", IF(C18 + D18 = 9, "3d10", IF(C18 + D18 = 10, "4d8", ))))))))))</f>
        <v>1d4</v>
      </c>
      <c r="G18" s="130"/>
      <c r="H18" s="132"/>
    </row>
    <row r="19" spans="2:10" ht="15.75" thickBot="1" x14ac:dyDescent="0.3">
      <c r="B19" s="40" t="s">
        <v>45</v>
      </c>
      <c r="C19" s="9"/>
      <c r="D19" s="9"/>
      <c r="E19" s="8" t="str">
        <f t="shared" si="0"/>
        <v>1d4</v>
      </c>
    </row>
    <row r="20" spans="2:10" x14ac:dyDescent="0.25">
      <c r="B20" s="39" t="s">
        <v>46</v>
      </c>
      <c r="C20" s="7"/>
      <c r="D20" s="7"/>
      <c r="E20" s="6" t="str">
        <f t="shared" si="0"/>
        <v>1d4</v>
      </c>
      <c r="G20" s="81" t="str">
        <f>IF(Q17 = 0, "Defense Calculation", "Cálculo de Defesa")</f>
        <v>Defense Calculation</v>
      </c>
      <c r="H20" s="82"/>
      <c r="I20" s="82"/>
      <c r="J20" s="83"/>
    </row>
    <row r="21" spans="2:10" x14ac:dyDescent="0.25">
      <c r="B21" s="40" t="s">
        <v>47</v>
      </c>
      <c r="C21" s="9"/>
      <c r="D21" s="9"/>
      <c r="E21" s="8" t="str">
        <f t="shared" si="0"/>
        <v>1d4</v>
      </c>
      <c r="G21" s="45" t="str">
        <f>IF(Q17 = 0, "Pre-Defense", "Antes da Defesa")</f>
        <v>Pre-Defense</v>
      </c>
      <c r="H21" s="84" t="str">
        <f>IF(Q17 = 0, "Post-Defense", "Pós-Defesa")</f>
        <v>Post-Defense</v>
      </c>
      <c r="I21" s="84"/>
      <c r="J21" s="85"/>
    </row>
    <row r="22" spans="2:10" ht="15" customHeight="1" x14ac:dyDescent="0.25">
      <c r="B22" s="39" t="s">
        <v>48</v>
      </c>
      <c r="C22" s="7"/>
      <c r="D22" s="7"/>
      <c r="E22" s="6" t="str">
        <f t="shared" si="0"/>
        <v>1d4</v>
      </c>
      <c r="G22" s="75"/>
      <c r="H22" s="77" t="str">
        <f>IF(G22 = "", "", IF(H17 &lt; 0, G22 - (H15), IF(ROUNDUP(G22 * 15/(H17+15) - (H15), 0) &gt;= 0, ROUNDUP(G22 * 15/(H17+15) - (H15), 0), 0)))</f>
        <v/>
      </c>
      <c r="I22" s="77"/>
      <c r="J22" s="78"/>
    </row>
    <row r="23" spans="2:10" ht="15.75" customHeight="1" thickBot="1" x14ac:dyDescent="0.3">
      <c r="B23" s="40" t="s">
        <v>26</v>
      </c>
      <c r="C23" s="9"/>
      <c r="D23" s="9"/>
      <c r="E23" s="8" t="str">
        <f t="shared" si="0"/>
        <v>1d4</v>
      </c>
      <c r="G23" s="76"/>
      <c r="H23" s="79"/>
      <c r="I23" s="79"/>
      <c r="J23" s="80"/>
    </row>
    <row r="24" spans="2:10" x14ac:dyDescent="0.25">
      <c r="B24" s="39" t="s">
        <v>49</v>
      </c>
      <c r="C24" s="7"/>
      <c r="D24" s="7"/>
      <c r="E24" s="6" t="str">
        <f t="shared" si="0"/>
        <v>1d4</v>
      </c>
    </row>
    <row r="25" spans="2:10" ht="15.75" thickBot="1" x14ac:dyDescent="0.3">
      <c r="B25" s="41" t="s">
        <v>50</v>
      </c>
      <c r="C25" s="5"/>
      <c r="D25" s="5"/>
      <c r="E25" s="4" t="str">
        <f t="shared" si="0"/>
        <v>1d4</v>
      </c>
    </row>
    <row r="26" spans="2:10" ht="15.75" thickTop="1" x14ac:dyDescent="0.25"/>
  </sheetData>
  <mergeCells count="27">
    <mergeCell ref="G12:G13"/>
    <mergeCell ref="H12:H13"/>
    <mergeCell ref="G15:G16"/>
    <mergeCell ref="H15:H16"/>
    <mergeCell ref="G17:G18"/>
    <mergeCell ref="H17:H18"/>
    <mergeCell ref="B2:E2"/>
    <mergeCell ref="G2:G3"/>
    <mergeCell ref="H2:H3"/>
    <mergeCell ref="I2:I3"/>
    <mergeCell ref="J2:J3"/>
    <mergeCell ref="G22:G23"/>
    <mergeCell ref="H22:J23"/>
    <mergeCell ref="G20:J20"/>
    <mergeCell ref="H21:J21"/>
    <mergeCell ref="B4:E4"/>
    <mergeCell ref="G4:G5"/>
    <mergeCell ref="H4:H5"/>
    <mergeCell ref="I4:I5"/>
    <mergeCell ref="J4:J5"/>
    <mergeCell ref="G7:G8"/>
    <mergeCell ref="H7:J8"/>
    <mergeCell ref="B8:E8"/>
    <mergeCell ref="B13:E13"/>
    <mergeCell ref="B17:E17"/>
    <mergeCell ref="G10:G11"/>
    <mergeCell ref="H10:H1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Usefull Stuff</vt:lpstr>
      <vt:lpstr>Enemy Sheet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2018-02-05T19:33:52Z</dcterms:created>
  <dcterms:modified xsi:type="dcterms:W3CDTF">2018-08-08T13:29:32Z</dcterms:modified>
</cp:coreProperties>
</file>