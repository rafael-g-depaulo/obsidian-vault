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" l="1"/>
  <c r="S32" i="1" l="1"/>
  <c r="R32" i="1"/>
  <c r="P32" i="1"/>
  <c r="C5" i="1" l="1"/>
  <c r="F32" i="1" l="1"/>
  <c r="L12" i="1"/>
  <c r="L14" i="1"/>
  <c r="N7" i="1"/>
  <c r="U4" i="1"/>
  <c r="U3" i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N9" i="1" l="1"/>
  <c r="F37" i="1" l="1"/>
  <c r="E37" i="1"/>
  <c r="D37" i="1"/>
  <c r="F36" i="1"/>
  <c r="E36" i="1"/>
  <c r="D36" i="1"/>
  <c r="B34" i="1" l="1"/>
  <c r="B9" i="1" l="1"/>
  <c r="D34" i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2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<sst xmlns="http://schemas.openxmlformats.org/spreadsheetml/2006/main" count="14" uniqueCount="12">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</sst>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0" fillId="0" borderId="0" xfId="0" applyAlignment="1"/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Border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3" fillId="26" borderId="3" xfId="2" applyFill="1" applyBorder="1" applyAlignment="1">
      <alignment horizontal="center" vertical="center"/>
    </xf>
    <xf numFmtId="0" fontId="3" fillId="26" borderId="5" xfId="2" applyFill="1" applyBorder="1" applyAlignment="1">
      <alignment horizontal="center" vertic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</cellXfs>
  <cellStyles count="25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1" xfId="23" builtinId="32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Good" xfId="24" builtinId="26"/>
    <cellStyle name="Input" xfId="3" builtinId="20"/>
    <cellStyle name="Neutral" xfId="2" builtinId="28"/>
    <cellStyle name="Normal" xfId="0" builtinId="0"/>
    <cellStyle name="Note" xfId="4" builtinId="10"/>
  </cellStyles>
  <dxfs count="20"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5" headerRowCount="0" totalsRowShown="0" headerRowDxfId="19" dataDxfId="18">
  <tableColumns count="4">
    <tableColumn id="1" name="Column1" dataDxfId="17"/>
    <tableColumn id="2" name="Column2" dataDxfId="16"/>
    <tableColumn id="3" name="Column3" dataDxfId="15"/>
    <tableColumn id="4" name="Column4" headerRowDxfId="14" dataDxfId="1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12"/>
    <tableColumn id="2" name="Column2" dataDxfId="11"/>
    <tableColumn id="3" name="Column3" dataDxfId="10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id="2" name="Table73" displayName="Table73" ref="P33:U36" headerRowCount="0" totalsRowShown="0" headerRowDxfId="9" dataDxfId="8">
  <tableColumns count="6">
    <tableColumn id="1" name="Column1" dataDxfId="7"/>
    <tableColumn id="2" name="Column2" dataDxfId="6"/>
    <tableColumn id="3" name="Column3" dataDxfId="5"/>
    <tableColumn id="4" name="Column4" dataDxfId="4"/>
    <tableColumn id="5" name="Column5" headerRowDxfId="3" dataDxfId="2"/>
    <tableColumn id="6" name="Column6" headerRowDxfId="1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9"/>
  <sheetViews>
    <sheetView showGridLines="0" tabSelected="1" topLeftCell="A4" zoomScale="85" zoomScaleNormal="85" workbookViewId="0">
      <selection activeCell="I22" sqref="I22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2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1" width="9" customWidth="1"/>
    <col min="22" max="22" width="9.140625" customWidth="1"/>
  </cols>
  <sheetData>
    <row r="1" spans="1:21" ht="15.75" thickBot="1" x14ac:dyDescent="0.3"/>
    <row r="2" spans="1:21" ht="15" customHeight="1" thickTop="1" thickBot="1" x14ac:dyDescent="0.3">
      <c r="A2" s="13"/>
      <c r="B2" s="80" t="str">
        <f>IF(L24 = 0,"Attributes","Atributos")</f>
        <v>Attributes</v>
      </c>
      <c r="C2" s="81"/>
      <c r="D2" s="81"/>
      <c r="E2" s="81"/>
      <c r="F2" s="82"/>
      <c r="H2" s="46" t="str">
        <f>IF(L24 = 0, "Name:", "Nome:")</f>
        <v>Name:</v>
      </c>
      <c r="I2" s="55"/>
      <c r="K2" s="166" t="s">
        <v>2</v>
      </c>
      <c r="L2" s="162">
        <v>0</v>
      </c>
      <c r="M2" s="162"/>
      <c r="N2" s="163"/>
      <c r="P2" s="170" t="str">
        <f>IF(L24=0,"Inventory", "Inventário")</f>
        <v>Inventory</v>
      </c>
      <c r="Q2" s="170"/>
      <c r="R2" s="170"/>
      <c r="T2" s="150" t="str">
        <f>IF(L24=0, "Movement", "Movimento")</f>
        <v>Movement</v>
      </c>
      <c r="U2" s="151"/>
    </row>
    <row r="3" spans="1:21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7"/>
      <c r="K3" s="167"/>
      <c r="L3" s="164"/>
      <c r="M3" s="164"/>
      <c r="N3" s="165"/>
      <c r="O3" s="2"/>
      <c r="P3" s="170"/>
      <c r="Q3" s="170"/>
      <c r="R3" s="170"/>
      <c r="T3" s="57" t="str">
        <f>IF(L24=0, "Normal", "Normal")</f>
        <v>Normal</v>
      </c>
      <c r="U3" s="59">
        <f>IF(L29 &gt; 7, 7, IF(L29 &lt; 4, 5, 6))</f>
        <v>6</v>
      </c>
    </row>
    <row r="4" spans="1:21" ht="15" customHeight="1" thickBot="1" x14ac:dyDescent="0.3">
      <c r="A4" s="13"/>
      <c r="B4" s="122" t="str">
        <f>IF(L24 = 0,"Physical","Físicos")</f>
        <v>Physical</v>
      </c>
      <c r="C4" s="123"/>
      <c r="D4" s="123"/>
      <c r="E4" s="123"/>
      <c r="F4" s="124"/>
      <c r="K4" s="166" t="s">
        <v>1</v>
      </c>
      <c r="L4" s="162">
        <v>1</v>
      </c>
      <c r="M4" s="162"/>
      <c r="N4" s="163"/>
      <c r="P4" s="48" t="s">
        <v>4</v>
      </c>
      <c r="Q4" s="48" t="str">
        <f>IF(L24 = 0, "Item", "Item")</f>
        <v>Item</v>
      </c>
      <c r="R4" s="48" t="str">
        <f>IF(L24 = 0, "Description", "Descrição")</f>
        <v>Description</v>
      </c>
      <c r="T4" s="58" t="str">
        <f>IF(L24=0, "Difficult", "Difícil")</f>
        <v>Difficult</v>
      </c>
      <c r="U4" s="60">
        <f>IF(L29 &gt; 7, 3, IF(L29 &lt; 4, 5, 4))</f>
        <v>4</v>
      </c>
    </row>
    <row r="5" spans="1:21" ht="15.75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67"/>
      <c r="L5" s="164"/>
      <c r="M5" s="164"/>
      <c r="N5" s="165"/>
      <c r="P5" s="49"/>
      <c r="Q5" s="49"/>
      <c r="R5" s="50"/>
    </row>
    <row r="6" spans="1:21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0</v>
      </c>
      <c r="D6" s="4"/>
      <c r="E6" s="4"/>
      <c r="F6" s="17" t="str">
        <f t="shared" si="0"/>
        <v>1d2</v>
      </c>
      <c r="L6" s="1"/>
      <c r="M6" s="1"/>
      <c r="N6" s="1"/>
      <c r="P6" s="49"/>
      <c r="Q6" s="49"/>
      <c r="R6" s="50"/>
      <c r="T6" s="152" t="s">
        <v>8</v>
      </c>
      <c r="U6" s="154">
        <f>8 + L14 + N14</f>
        <v>8</v>
      </c>
    </row>
    <row r="7" spans="1:21" ht="15" customHeight="1" thickBot="1" x14ac:dyDescent="0.3">
      <c r="A7" s="13"/>
      <c r="B7" s="18" t="str">
        <f>IF(L24 = 0,"Might","Força")</f>
        <v>Might</v>
      </c>
      <c r="C7" s="3">
        <f t="shared" si="1"/>
        <v>0</v>
      </c>
      <c r="D7" s="5"/>
      <c r="E7" s="5"/>
      <c r="F7" s="19" t="str">
        <f t="shared" si="0"/>
        <v>1d2</v>
      </c>
      <c r="K7" s="168" t="s">
        <v>3</v>
      </c>
      <c r="L7" s="171"/>
      <c r="M7" s="173" t="s">
        <v>0</v>
      </c>
      <c r="N7" s="175">
        <f>IF(8+2*(D6+E6)+2*(D16+E16)+D12+E12+_xlfn.FLOOR.MATH(1.5*(D7+E7))+2*L4&gt;0,8+2*(D6+E6)+2*(D16+E16)+D12+E12+_xlfn.FLOOR.MATH(1.5*(D7+E7))+2*L4,1)</f>
        <v>10</v>
      </c>
      <c r="P7" s="49"/>
      <c r="Q7" s="49"/>
      <c r="R7" s="50"/>
      <c r="T7" s="153"/>
      <c r="U7" s="155"/>
    </row>
    <row r="8" spans="1:21" ht="15" customHeight="1" thickBot="1" x14ac:dyDescent="0.3">
      <c r="A8" s="13"/>
      <c r="B8" s="119" t="str">
        <f>IF(L24 = 0,"Mental","Mentais")</f>
        <v>Mental</v>
      </c>
      <c r="C8" s="120"/>
      <c r="D8" s="120"/>
      <c r="E8" s="120"/>
      <c r="F8" s="121"/>
      <c r="K8" s="169"/>
      <c r="L8" s="172"/>
      <c r="M8" s="174"/>
      <c r="N8" s="176"/>
      <c r="P8" s="49"/>
      <c r="Q8" s="49"/>
      <c r="R8" s="50"/>
    </row>
    <row r="9" spans="1:21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0</v>
      </c>
      <c r="D9" s="8"/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1d2</v>
      </c>
      <c r="K9" s="144" t="s">
        <v>9</v>
      </c>
      <c r="L9" s="93"/>
      <c r="M9" s="177" t="s">
        <v>0</v>
      </c>
      <c r="N9" s="179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10</v>
      </c>
      <c r="P9" s="49"/>
      <c r="Q9" s="49"/>
      <c r="R9" s="50"/>
    </row>
    <row r="10" spans="1:21" ht="15" customHeight="1" thickBot="1" x14ac:dyDescent="0.3">
      <c r="A10" s="13"/>
      <c r="B10" s="22" t="str">
        <f>IF(L24 = 0,"Logic","Lógica")</f>
        <v>Logic</v>
      </c>
      <c r="C10" s="9">
        <f t="shared" si="2"/>
        <v>0</v>
      </c>
      <c r="D10" s="9"/>
      <c r="E10" s="9"/>
      <c r="F10" s="23" t="str">
        <f t="shared" si="3"/>
        <v>1d2</v>
      </c>
      <c r="K10" s="145"/>
      <c r="L10" s="94"/>
      <c r="M10" s="178"/>
      <c r="N10" s="180"/>
      <c r="P10" s="49"/>
      <c r="Q10" s="49"/>
      <c r="R10" s="50"/>
    </row>
    <row r="11" spans="1:21" ht="15" customHeight="1" thickBot="1" x14ac:dyDescent="0.3">
      <c r="A11" s="13"/>
      <c r="B11" s="20" t="str">
        <f>IF(L24 = 0,"Perception","Percepção")</f>
        <v>Perception</v>
      </c>
      <c r="C11" s="8">
        <f t="shared" si="2"/>
        <v>0</v>
      </c>
      <c r="D11" s="8"/>
      <c r="E11" s="8"/>
      <c r="F11" s="21" t="str">
        <f t="shared" si="3"/>
        <v>1d2</v>
      </c>
      <c r="P11" s="49"/>
      <c r="Q11" s="49"/>
      <c r="R11" s="50"/>
    </row>
    <row r="12" spans="1:21" ht="15" customHeight="1" thickBot="1" x14ac:dyDescent="0.3">
      <c r="A12" s="13"/>
      <c r="B12" s="22" t="str">
        <f>IF(L24 = 0,"Will","Vontade")</f>
        <v>Will</v>
      </c>
      <c r="C12" s="9">
        <f t="shared" si="2"/>
        <v>0</v>
      </c>
      <c r="D12" s="9"/>
      <c r="E12" s="9"/>
      <c r="F12" s="23" t="str">
        <f t="shared" si="3"/>
        <v>1d2</v>
      </c>
      <c r="K12" s="146" t="str">
        <f>IF(L24 = 0, "GUARD", "GUARD")</f>
        <v>GUARD</v>
      </c>
      <c r="L12" s="148">
        <f>IF(OR(1.5*(D7) &lt; D5, IFERROR(_xlfn.NUMBERVALUE(L29), 0) = 0), 0, _xlfn.FLOOR.MATH(1*(D7 + E7) + 0.75*(D6 + E6) + 0.5*(D25 + E25) + (L29-5)))</f>
        <v>0</v>
      </c>
      <c r="M12" s="148" t="str">
        <f>IF(N12 &gt; 0, "+", "")</f>
        <v/>
      </c>
      <c r="N12" s="91"/>
      <c r="P12" s="49"/>
      <c r="Q12" s="49"/>
      <c r="R12" s="50"/>
      <c r="S12" s="54"/>
      <c r="T12" s="54"/>
      <c r="U12" s="54"/>
    </row>
    <row r="13" spans="1:21" ht="15" customHeight="1" x14ac:dyDescent="0.25">
      <c r="A13" s="13"/>
      <c r="B13" s="116" t="str">
        <f>IF(L24 = 0,"Social","Sociais")</f>
        <v>Social</v>
      </c>
      <c r="C13" s="117"/>
      <c r="D13" s="117"/>
      <c r="E13" s="117"/>
      <c r="F13" s="118"/>
      <c r="K13" s="147"/>
      <c r="L13" s="149"/>
      <c r="M13" s="149"/>
      <c r="N13" s="92"/>
      <c r="P13" s="49"/>
      <c r="Q13" s="49"/>
      <c r="R13" s="50"/>
      <c r="U13" s="54"/>
    </row>
    <row r="14" spans="1:21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111" t="str">
        <f>IF(L24 = 0, "DODGE", "EVASÃO")</f>
        <v>DODGE</v>
      </c>
      <c r="L14" s="97">
        <f>IF(AND(D7&gt;1.5*(D5), ROUND(0.75*(D5 + E5) + 0.5*(D11 + E11) - 0.5*(D7 + E7) - 0.5*(L29 - 5), 0) &gt; 0), 0, ROUND(0.75*(D5 + E5) + 0.5*(D11 + E11)  - 0.5*(D7 + E7) - 0.5*(L29 - 5), 0))</f>
        <v>0</v>
      </c>
      <c r="M14" s="97" t="str">
        <f>IF(N14 &gt; 0, "+", "")</f>
        <v/>
      </c>
      <c r="N14" s="95"/>
      <c r="P14" s="49"/>
      <c r="Q14" s="49"/>
      <c r="R14" s="50"/>
      <c r="U14" s="54"/>
    </row>
    <row r="15" spans="1:21" ht="15" customHeight="1" thickBot="1" x14ac:dyDescent="0.3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112"/>
      <c r="L15" s="98"/>
      <c r="M15" s="98"/>
      <c r="N15" s="96"/>
      <c r="P15" s="49"/>
      <c r="Q15" s="49"/>
      <c r="R15" s="50"/>
      <c r="U15" s="54"/>
    </row>
    <row r="16" spans="1:21" ht="15" customHeight="1" thickBot="1" x14ac:dyDescent="0.3">
      <c r="A16" s="13"/>
      <c r="B16" s="28" t="str">
        <f>IF(L24 = 0,"Presence","Presença")</f>
        <v>Presence</v>
      </c>
      <c r="C16" s="11">
        <f t="shared" si="4"/>
        <v>0</v>
      </c>
      <c r="D16" s="11"/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49"/>
      <c r="Q16" s="49"/>
      <c r="R16" s="50"/>
      <c r="U16" s="54"/>
    </row>
    <row r="17" spans="1:21" ht="15" customHeight="1" x14ac:dyDescent="0.25">
      <c r="A17" s="13"/>
      <c r="B17" s="113" t="str">
        <f>IF(L24 = 0,"Extraordinary","Extraordinários")</f>
        <v>Extraordinary</v>
      </c>
      <c r="C17" s="114"/>
      <c r="D17" s="114"/>
      <c r="E17" s="114"/>
      <c r="F17" s="115"/>
      <c r="K17" s="103" t="str">
        <f>IF(L24 = 0, "Skill Points", "Pontos de Habilidade")</f>
        <v>Skill Points</v>
      </c>
      <c r="L17" s="104"/>
      <c r="M17" s="104"/>
      <c r="N17" s="160">
        <v>4</v>
      </c>
      <c r="P17" s="49"/>
      <c r="Q17" s="49"/>
      <c r="R17" s="50"/>
      <c r="U17" s="54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05"/>
      <c r="L18" s="106"/>
      <c r="M18" s="106"/>
      <c r="N18" s="161"/>
      <c r="P18" s="49"/>
      <c r="Q18" s="49"/>
      <c r="R18" s="50"/>
      <c r="U18" s="54"/>
    </row>
    <row r="19" spans="1:21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107" t="str">
        <f>IF(L24= 0, "Attribute Points", "Pontos de Atributo")</f>
        <v>Attribute Points</v>
      </c>
      <c r="L19" s="108"/>
      <c r="M19" s="108"/>
      <c r="N19" s="99">
        <v>40</v>
      </c>
      <c r="P19" s="49"/>
      <c r="Q19" s="49"/>
      <c r="R19" s="50"/>
      <c r="U19" s="54"/>
    </row>
    <row r="20" spans="1:21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109"/>
      <c r="L20" s="110"/>
      <c r="M20" s="110"/>
      <c r="N20" s="100"/>
      <c r="P20" s="49"/>
      <c r="Q20" s="49"/>
      <c r="R20" s="50"/>
      <c r="U20" s="54"/>
    </row>
    <row r="21" spans="1:21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56" t="str">
        <f>IF(L24 = 0, "Feat Points", "Pontos de Perícia")</f>
        <v>Feat Points</v>
      </c>
      <c r="L21" s="157"/>
      <c r="M21" s="157"/>
      <c r="N21" s="101">
        <v>6</v>
      </c>
      <c r="P21" s="49"/>
      <c r="Q21" s="49"/>
      <c r="R21" s="50"/>
      <c r="U21" s="54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58"/>
      <c r="L22" s="159"/>
      <c r="M22" s="159"/>
      <c r="N22" s="102"/>
      <c r="P22" s="49"/>
      <c r="Q22" s="49"/>
      <c r="R22" s="50"/>
      <c r="U22" s="54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9"/>
      <c r="Q23" s="49"/>
      <c r="R23" s="50"/>
      <c r="S23" s="54"/>
      <c r="T23" s="54"/>
      <c r="U23" s="54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28" t="str">
        <f>IF(L24 = 0, "Language:", "Língua:")</f>
        <v>Language:</v>
      </c>
      <c r="L24" s="83">
        <v>0</v>
      </c>
      <c r="M24" s="83"/>
      <c r="N24" s="84"/>
      <c r="P24" s="49"/>
      <c r="Q24" s="49"/>
      <c r="R24" s="50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29"/>
      <c r="L25" s="85"/>
      <c r="M25" s="85"/>
      <c r="N25" s="86"/>
      <c r="P25" s="49"/>
      <c r="Q25" s="49"/>
      <c r="R25" s="50"/>
    </row>
    <row r="26" spans="1:21" ht="16.5" thickTop="1" thickBot="1" x14ac:dyDescent="0.3">
      <c r="K26" s="40">
        <v>0</v>
      </c>
      <c r="L26" s="89" t="str">
        <f>IF(L24 = 0,"English","Inglês")</f>
        <v>English</v>
      </c>
      <c r="M26" s="89"/>
      <c r="N26" s="90"/>
      <c r="P26" s="49"/>
      <c r="Q26" s="49"/>
      <c r="R26" s="50"/>
    </row>
    <row r="27" spans="1:21" ht="15.75" thickBot="1" x14ac:dyDescent="0.3">
      <c r="B27" s="130" t="str">
        <f>IF(L24 = 0, "Defense Calculation", "Cálculo de Defesa")</f>
        <v>Defense Calculation</v>
      </c>
      <c r="C27" s="131"/>
      <c r="D27" s="131"/>
      <c r="E27" s="131"/>
      <c r="F27" s="132"/>
      <c r="K27" s="41">
        <v>1</v>
      </c>
      <c r="L27" s="87" t="str">
        <f>IF(L24 = 0,"Portuguese","Português")</f>
        <v>Portuguese</v>
      </c>
      <c r="M27" s="87"/>
      <c r="N27" s="88"/>
    </row>
    <row r="28" spans="1:21" ht="15.75" thickBot="1" x14ac:dyDescent="0.3">
      <c r="B28" s="133" t="str">
        <f>IF(L24 = 0, "Pre-Defense", "Antes da Defesa")</f>
        <v>Pre-Defense</v>
      </c>
      <c r="C28" s="134"/>
      <c r="D28" s="141" t="str">
        <f>IF(L24 = 0, "Post-Defense", "Pós-Defesa")</f>
        <v>Post-Defense</v>
      </c>
      <c r="E28" s="142"/>
      <c r="F28" s="143"/>
    </row>
    <row r="29" spans="1:21" ht="15.75" thickBot="1" x14ac:dyDescent="0.3">
      <c r="B29" s="135"/>
      <c r="C29" s="136"/>
      <c r="D29" s="136" t="str">
        <f>IF(B29 = "", "", IF(L14+N14 &lt; 0, B29 - (L12+N12), IF(ROUNDUP(B29 * 15/(L14+N14+15) - (L12+N12), 0) &gt;= 0, ROUNDUP(B29 * 15/(L14+N14+15) - (L12+N12), 0), 0)))</f>
        <v/>
      </c>
      <c r="E29" s="136"/>
      <c r="F29" s="139"/>
      <c r="K29" s="42" t="str">
        <f>IF(L24 = 0, "Size:", "Tamanho:")</f>
        <v>Size:</v>
      </c>
      <c r="L29" s="125">
        <v>5</v>
      </c>
      <c r="M29" s="126"/>
      <c r="N29" s="127"/>
    </row>
    <row r="30" spans="1:21" ht="15.75" customHeight="1" thickBot="1" x14ac:dyDescent="0.3">
      <c r="B30" s="137"/>
      <c r="C30" s="138"/>
      <c r="D30" s="138"/>
      <c r="E30" s="138"/>
      <c r="F30" s="140"/>
    </row>
    <row r="31" spans="1:21" ht="19.5" thickBot="1" x14ac:dyDescent="0.3">
      <c r="P31" s="66" t="s">
        <v>6</v>
      </c>
      <c r="Q31" s="66"/>
      <c r="R31" s="66"/>
      <c r="S31" s="66"/>
      <c r="T31" s="66"/>
      <c r="U31" s="66"/>
    </row>
    <row r="32" spans="1:21" ht="34.5" thickBot="1" x14ac:dyDescent="0.3">
      <c r="B32" s="52" t="s">
        <v>5</v>
      </c>
      <c r="C32" s="79"/>
      <c r="D32" s="79"/>
      <c r="E32" s="51" t="s">
        <v>0</v>
      </c>
      <c r="F32" s="53">
        <f xml:space="preserve"> 8 + 3*(D6+E6) + 2*(D5+E5) + D7+E7 + 2*L4</f>
        <v>10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6" t="str">
        <f>IF(L24=0,"Name","Nome")</f>
        <v>Name</v>
      </c>
      <c r="Q32" s="56" t="s">
        <v>7</v>
      </c>
      <c r="R32" s="56" t="str">
        <f>IF(L24=0,"Effect","Efeito")</f>
        <v>Effect</v>
      </c>
      <c r="S32" s="56" t="str">
        <f>IF(L24=0,"Defense","Defesa")</f>
        <v>Defense</v>
      </c>
      <c r="T32" s="62" t="s">
        <v>10</v>
      </c>
      <c r="U32" s="62" t="s">
        <v>11</v>
      </c>
    </row>
    <row r="33" spans="2:21" ht="15.75" thickBot="1" x14ac:dyDescent="0.3">
      <c r="H33" s="49"/>
      <c r="I33" s="61"/>
      <c r="J33" s="49"/>
      <c r="K33" s="49"/>
      <c r="P33" s="49"/>
      <c r="Q33" s="49"/>
      <c r="R33" s="63"/>
      <c r="S33" s="63"/>
      <c r="T33" s="64"/>
      <c r="U33" s="63"/>
    </row>
    <row r="34" spans="2:21" x14ac:dyDescent="0.25">
      <c r="B34" s="77" t="str">
        <f>IF(L24 = 0, "HP Dice", "Dado de HP")</f>
        <v>HP Dice</v>
      </c>
      <c r="C34" s="67"/>
      <c r="D34" s="67" t="str">
        <f>IF(L24 = 0,"Fortitude","Fortitude")</f>
        <v>Fortitude</v>
      </c>
      <c r="E34" s="67"/>
      <c r="F34" s="68"/>
      <c r="H34" s="49"/>
      <c r="I34" s="61"/>
      <c r="J34" s="49"/>
      <c r="K34" s="49"/>
      <c r="P34" s="63"/>
      <c r="Q34" s="49"/>
      <c r="R34" s="61"/>
      <c r="S34" s="63"/>
      <c r="T34" s="65"/>
      <c r="U34" s="63"/>
    </row>
    <row r="35" spans="2:21" ht="15.75" thickBot="1" x14ac:dyDescent="0.3">
      <c r="B35" s="78"/>
      <c r="C35" s="69"/>
      <c r="D35" s="69"/>
      <c r="E35" s="69"/>
      <c r="F35" s="70"/>
      <c r="H35" s="49"/>
      <c r="I35" s="61"/>
      <c r="J35" s="49"/>
      <c r="K35" s="49"/>
      <c r="P35" s="63"/>
      <c r="Q35" s="49"/>
      <c r="R35" s="61"/>
      <c r="S35" s="63"/>
      <c r="T35" s="49"/>
      <c r="U35" s="63"/>
    </row>
    <row r="36" spans="2:21" ht="15" customHeight="1" x14ac:dyDescent="0.25">
      <c r="B36" s="71" t="str">
        <f>IF(L24 = 0, "MP Dice", "Dado de MP")</f>
        <v>MP Dice</v>
      </c>
      <c r="C36" s="72"/>
      <c r="D36" s="72" t="str">
        <f t="shared" ref="D36:F36" si="9">IF(N51 = 0,"Learning","Aprendizado")</f>
        <v>Learning</v>
      </c>
      <c r="E36" s="72" t="str">
        <f t="shared" si="9"/>
        <v>Learning</v>
      </c>
      <c r="F36" s="75" t="str">
        <f t="shared" si="9"/>
        <v>Learning</v>
      </c>
      <c r="P36" s="63"/>
      <c r="Q36" s="49"/>
      <c r="R36" s="61"/>
      <c r="S36" s="63"/>
      <c r="T36" s="49"/>
      <c r="U36" s="63"/>
    </row>
    <row r="37" spans="2:21" ht="15.75" customHeight="1" thickBot="1" x14ac:dyDescent="0.3">
      <c r="B37" s="73"/>
      <c r="C37" s="74"/>
      <c r="D37" s="74" t="str">
        <f t="shared" ref="D37:F37" si="10">IF(N52 = 0,"Learning","Aprendizado")</f>
        <v>Learning</v>
      </c>
      <c r="E37" s="74" t="str">
        <f t="shared" si="10"/>
        <v>Learning</v>
      </c>
      <c r="F37" s="76" t="str">
        <f t="shared" si="10"/>
        <v>Learning</v>
      </c>
      <c r="P37" s="63"/>
      <c r="Q37" s="49"/>
      <c r="R37" s="61"/>
      <c r="S37" s="63"/>
      <c r="T37" s="49"/>
      <c r="U37" s="63"/>
    </row>
    <row r="39" spans="2:21" x14ac:dyDescent="0.25">
      <c r="H39" s="45"/>
      <c r="I39" s="45"/>
      <c r="J39" s="45"/>
    </row>
  </sheetData>
  <mergeCells count="51">
    <mergeCell ref="T2:U2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M12:M13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N21:N22"/>
    <mergeCell ref="K17:M18"/>
    <mergeCell ref="K19:M20"/>
    <mergeCell ref="K14:K15"/>
    <mergeCell ref="L14:L15"/>
    <mergeCell ref="B17:F17"/>
    <mergeCell ref="B13:F13"/>
    <mergeCell ref="P31:U31"/>
    <mergeCell ref="D34:F35"/>
    <mergeCell ref="B36:C37"/>
    <mergeCell ref="D36:F37"/>
    <mergeCell ref="B34:C35"/>
    <mergeCell ref="C32:D3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3">
    <tablePart r:id="rId26"/>
    <tablePart r:id="rId27"/>
    <tablePart r:id="rId2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2018-06-15T15:45:49Z</dcterms:modified>
</cp:coreProperties>
</file>