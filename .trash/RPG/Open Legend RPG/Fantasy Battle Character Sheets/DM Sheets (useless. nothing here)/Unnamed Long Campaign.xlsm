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Fantasy Battle Character Sheets\DM Sheets\"/>
    </mc:Choice>
  </mc:AlternateContent>
  <bookViews>
    <workbookView xWindow="0" yWindow="0" windowWidth="11595" windowHeight="4890" tabRatio="803" activeTab="2"/>
  </bookViews>
  <sheets>
    <sheet name="Usefull Stuff" sheetId="1" r:id="rId1"/>
    <sheet name="Sheet1" sheetId="18" r:id="rId2"/>
    <sheet name="Enemy Sheet" sheetId="3" r:id="rId3"/>
    <sheet name="Crystal Wolf #2" sheetId="17" r:id="rId4"/>
    <sheet name="Jesse the Owlbear" sheetId="13" r:id="rId5"/>
    <sheet name="Rai" sheetId="11" r:id="rId6"/>
    <sheet name="Zhen" sheetId="10" r:id="rId7"/>
    <sheet name="Berg" sheetId="9" r:id="rId8"/>
  </sheets>
  <externalReferences>
    <externalReference r:id="rId9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3" l="1"/>
  <c r="H22" i="3"/>
  <c r="F37" i="18"/>
  <c r="E37" i="18"/>
  <c r="D37" i="18"/>
  <c r="F36" i="18"/>
  <c r="E36" i="18"/>
  <c r="D36" i="18"/>
  <c r="B36" i="18"/>
  <c r="D34" i="18"/>
  <c r="B34" i="18"/>
  <c r="S32" i="18"/>
  <c r="R32" i="18"/>
  <c r="P32" i="18"/>
  <c r="K32" i="18"/>
  <c r="J32" i="18"/>
  <c r="I32" i="18"/>
  <c r="H32" i="18"/>
  <c r="F32" i="18"/>
  <c r="K29" i="18"/>
  <c r="D29" i="18"/>
  <c r="D28" i="18"/>
  <c r="B28" i="18"/>
  <c r="L27" i="18"/>
  <c r="B27" i="18"/>
  <c r="L26" i="18"/>
  <c r="F25" i="18"/>
  <c r="C25" i="18"/>
  <c r="B25" i="18"/>
  <c r="K24" i="18"/>
  <c r="F24" i="18"/>
  <c r="C24" i="18"/>
  <c r="B24" i="18"/>
  <c r="F23" i="18"/>
  <c r="C23" i="18"/>
  <c r="B23" i="18"/>
  <c r="F22" i="18"/>
  <c r="C22" i="18"/>
  <c r="B22" i="18"/>
  <c r="K21" i="18"/>
  <c r="F21" i="18"/>
  <c r="C21" i="18"/>
  <c r="B21" i="18"/>
  <c r="F20" i="18"/>
  <c r="C20" i="18"/>
  <c r="B20" i="18"/>
  <c r="K19" i="18"/>
  <c r="F19" i="18"/>
  <c r="C19" i="18"/>
  <c r="B19" i="18"/>
  <c r="F18" i="18"/>
  <c r="C18" i="18"/>
  <c r="B18" i="18"/>
  <c r="K17" i="18"/>
  <c r="B17" i="18"/>
  <c r="F16" i="18"/>
  <c r="C16" i="18"/>
  <c r="B16" i="18"/>
  <c r="F15" i="18"/>
  <c r="C15" i="18"/>
  <c r="B15" i="18"/>
  <c r="M14" i="18"/>
  <c r="L14" i="18"/>
  <c r="U6" i="18" s="1"/>
  <c r="K14" i="18"/>
  <c r="F14" i="18"/>
  <c r="C14" i="18"/>
  <c r="B14" i="18"/>
  <c r="B13" i="18"/>
  <c r="M12" i="18"/>
  <c r="L12" i="18"/>
  <c r="K12" i="18"/>
  <c r="F12" i="18"/>
  <c r="C12" i="18"/>
  <c r="B12" i="18"/>
  <c r="F11" i="18"/>
  <c r="C11" i="18"/>
  <c r="B11" i="18"/>
  <c r="F10" i="18"/>
  <c r="C10" i="18"/>
  <c r="B10" i="18"/>
  <c r="N9" i="18"/>
  <c r="F9" i="18"/>
  <c r="C9" i="18"/>
  <c r="B9" i="18"/>
  <c r="B8" i="18"/>
  <c r="N7" i="18"/>
  <c r="F7" i="18"/>
  <c r="C7" i="18"/>
  <c r="B7" i="18"/>
  <c r="F6" i="18"/>
  <c r="C6" i="18"/>
  <c r="B6" i="18"/>
  <c r="F5" i="18"/>
  <c r="C5" i="18"/>
  <c r="B5" i="18"/>
  <c r="U4" i="18"/>
  <c r="T4" i="18"/>
  <c r="R4" i="18"/>
  <c r="Q4" i="18"/>
  <c r="B4" i="18"/>
  <c r="U3" i="18"/>
  <c r="T3" i="18"/>
  <c r="F3" i="18"/>
  <c r="E3" i="18"/>
  <c r="D3" i="18"/>
  <c r="C3" i="18"/>
  <c r="B3" i="18"/>
  <c r="T2" i="18"/>
  <c r="P2" i="18"/>
  <c r="H2" i="18"/>
  <c r="B2" i="18"/>
  <c r="E25" i="10" l="1"/>
  <c r="E24" i="10"/>
  <c r="E23" i="10"/>
  <c r="E22" i="10"/>
  <c r="E21" i="10"/>
  <c r="E20" i="10"/>
  <c r="E19" i="10"/>
  <c r="E18" i="10"/>
  <c r="E16" i="10"/>
  <c r="E15" i="10"/>
  <c r="E14" i="10"/>
  <c r="E12" i="10"/>
  <c r="E11" i="10"/>
  <c r="E10" i="10"/>
  <c r="E9" i="10"/>
  <c r="E7" i="10"/>
  <c r="E6" i="10"/>
  <c r="E5" i="10"/>
  <c r="E25" i="17" l="1"/>
  <c r="E24" i="17"/>
  <c r="E23" i="17"/>
  <c r="H22" i="17"/>
  <c r="E22" i="17"/>
  <c r="H21" i="17"/>
  <c r="G21" i="17"/>
  <c r="E21" i="17"/>
  <c r="G20" i="17"/>
  <c r="E20" i="17"/>
  <c r="E19" i="17"/>
  <c r="E18" i="17"/>
  <c r="G17" i="17"/>
  <c r="E16" i="17"/>
  <c r="G15" i="17"/>
  <c r="E15" i="17"/>
  <c r="E14" i="17"/>
  <c r="E12" i="17"/>
  <c r="E11" i="17"/>
  <c r="E10" i="17"/>
  <c r="E9" i="17"/>
  <c r="B9" i="17"/>
  <c r="E7" i="17"/>
  <c r="E6" i="17"/>
  <c r="E5" i="17"/>
  <c r="E25" i="13" l="1"/>
  <c r="E24" i="13"/>
  <c r="E23" i="13"/>
  <c r="H22" i="13"/>
  <c r="E22" i="13"/>
  <c r="H21" i="13"/>
  <c r="G21" i="13"/>
  <c r="E21" i="13"/>
  <c r="G20" i="13"/>
  <c r="E20" i="13"/>
  <c r="E19" i="13"/>
  <c r="E18" i="13"/>
  <c r="G17" i="13"/>
  <c r="E16" i="13"/>
  <c r="G15" i="13"/>
  <c r="E15" i="13"/>
  <c r="E14" i="13"/>
  <c r="E12" i="13"/>
  <c r="E11" i="13"/>
  <c r="E10" i="13"/>
  <c r="E9" i="13"/>
  <c r="B9" i="13"/>
  <c r="E7" i="13"/>
  <c r="E6" i="13"/>
  <c r="E5" i="13"/>
  <c r="E25" i="11" l="1"/>
  <c r="E24" i="11"/>
  <c r="E23" i="11"/>
  <c r="H22" i="11"/>
  <c r="E22" i="11"/>
  <c r="H21" i="11"/>
  <c r="G21" i="11"/>
  <c r="E21" i="11"/>
  <c r="G20" i="11"/>
  <c r="E20" i="11"/>
  <c r="E19" i="11"/>
  <c r="E18" i="11"/>
  <c r="G17" i="11"/>
  <c r="E16" i="11"/>
  <c r="G15" i="11"/>
  <c r="E15" i="11"/>
  <c r="E14" i="11"/>
  <c r="E12" i="11"/>
  <c r="E11" i="11"/>
  <c r="E10" i="11"/>
  <c r="E9" i="11"/>
  <c r="B9" i="11"/>
  <c r="E7" i="11"/>
  <c r="E6" i="11"/>
  <c r="E5" i="11"/>
  <c r="H22" i="10"/>
  <c r="H21" i="10"/>
  <c r="G21" i="10"/>
  <c r="G20" i="10"/>
  <c r="G17" i="10"/>
  <c r="G15" i="10"/>
  <c r="B9" i="10"/>
  <c r="E25" i="9"/>
  <c r="E24" i="9"/>
  <c r="E23" i="9"/>
  <c r="H22" i="9"/>
  <c r="E22" i="9"/>
  <c r="H21" i="9"/>
  <c r="G21" i="9"/>
  <c r="E21" i="9"/>
  <c r="G20" i="9"/>
  <c r="E20" i="9"/>
  <c r="E19" i="9"/>
  <c r="E18" i="9"/>
  <c r="G17" i="9"/>
  <c r="E16" i="9"/>
  <c r="G15" i="9"/>
  <c r="E15" i="9"/>
  <c r="E14" i="9"/>
  <c r="E12" i="9"/>
  <c r="E11" i="9"/>
  <c r="E10" i="9"/>
  <c r="E9" i="9"/>
  <c r="B9" i="9"/>
  <c r="E7" i="9"/>
  <c r="E6" i="9"/>
  <c r="E5" i="9"/>
  <c r="H21" i="3"/>
  <c r="G21" i="3"/>
  <c r="G20" i="3"/>
  <c r="E22" i="3" l="1"/>
  <c r="E25" i="3"/>
  <c r="E24" i="3"/>
  <c r="E23" i="3"/>
  <c r="E21" i="3"/>
  <c r="E20" i="3"/>
  <c r="E19" i="3"/>
  <c r="E18" i="3"/>
  <c r="E16" i="3"/>
  <c r="E15" i="3"/>
  <c r="E14" i="3"/>
  <c r="E12" i="3"/>
  <c r="E11" i="3"/>
  <c r="E10" i="3"/>
  <c r="E9" i="3"/>
  <c r="B9" i="3"/>
  <c r="E7" i="3"/>
  <c r="E6" i="3"/>
  <c r="E5" i="3"/>
</calcChain>
</file>

<file path=xl/sharedStrings.xml><?xml version="1.0" encoding="utf-8"?>
<sst xmlns="http://schemas.openxmlformats.org/spreadsheetml/2006/main" count="345" uniqueCount="121">
  <si>
    <t>Iniciativa</t>
  </si>
  <si>
    <t>Name</t>
  </si>
  <si>
    <t>cur HP</t>
  </si>
  <si>
    <t>max HP</t>
  </si>
  <si>
    <t>Roll Table</t>
  </si>
  <si>
    <t>Aylo</t>
  </si>
  <si>
    <t>Dice</t>
  </si>
  <si>
    <t>Attribute</t>
  </si>
  <si>
    <t>1d4</t>
  </si>
  <si>
    <t>1d6</t>
  </si>
  <si>
    <t>1d8</t>
  </si>
  <si>
    <t>1d10</t>
  </si>
  <si>
    <t>2d6</t>
  </si>
  <si>
    <t>2d8</t>
  </si>
  <si>
    <t>2d10</t>
  </si>
  <si>
    <t>3d8</t>
  </si>
  <si>
    <t>3d10</t>
  </si>
  <si>
    <t>4d8</t>
  </si>
  <si>
    <t>Character</t>
  </si>
  <si>
    <t>Buff/Debuf</t>
  </si>
  <si>
    <t>Buff</t>
  </si>
  <si>
    <t>Duration</t>
  </si>
  <si>
    <t>HP:</t>
  </si>
  <si>
    <t>/</t>
  </si>
  <si>
    <t>MANA:</t>
  </si>
  <si>
    <t>Attacks With:</t>
  </si>
  <si>
    <t>Agility</t>
  </si>
  <si>
    <t>Movement</t>
  </si>
  <si>
    <t>-</t>
  </si>
  <si>
    <t>Skill / Perk / Feat</t>
  </si>
  <si>
    <t>Description</t>
  </si>
  <si>
    <t>Cost</t>
  </si>
  <si>
    <t>Fortitude</t>
  </si>
  <si>
    <t>Might</t>
  </si>
  <si>
    <t>Attributes</t>
  </si>
  <si>
    <t>Score</t>
  </si>
  <si>
    <t>Bonus</t>
  </si>
  <si>
    <t>Physical</t>
  </si>
  <si>
    <t>Mental</t>
  </si>
  <si>
    <t>Logic</t>
  </si>
  <si>
    <t>Perception</t>
  </si>
  <si>
    <t>Will</t>
  </si>
  <si>
    <t>Social</t>
  </si>
  <si>
    <t>Deception</t>
  </si>
  <si>
    <t>Persuation</t>
  </si>
  <si>
    <t>Presence</t>
  </si>
  <si>
    <t>Alteration</t>
  </si>
  <si>
    <t>Creation</t>
  </si>
  <si>
    <t>Energy</t>
  </si>
  <si>
    <t>Entropy</t>
  </si>
  <si>
    <t>Influcence</t>
  </si>
  <si>
    <t>Prescience</t>
  </si>
  <si>
    <t>Protection</t>
  </si>
  <si>
    <t>Extraordinary</t>
  </si>
  <si>
    <t>Absorb Power</t>
  </si>
  <si>
    <t>Elemental Weakness</t>
  </si>
  <si>
    <t>Adv +1 to enemy elemental attacks when hitting Berg.</t>
  </si>
  <si>
    <t>Party Size</t>
  </si>
  <si>
    <t>Party Level</t>
  </si>
  <si>
    <t>Cristal Power</t>
  </si>
  <si>
    <t>Yreith</t>
  </si>
  <si>
    <t>Crystal Magic damage ignores Guard</t>
  </si>
  <si>
    <t>Invisible Strike</t>
  </si>
  <si>
    <t>If Rai attacks while invisible and the target fails a perception check to see her, she doesn't lose invisibility.</t>
  </si>
  <si>
    <t>Battle Hungry</t>
  </si>
  <si>
    <t>Crystal Magic damage ignores Guard.</t>
  </si>
  <si>
    <t>Intimidate Attemps just taunt Berg to attack the intimidate user.</t>
  </si>
  <si>
    <t>Crystal Speed</t>
  </si>
  <si>
    <t>Rai acts three separate times per turn</t>
  </si>
  <si>
    <t>Crystal Transparency</t>
  </si>
  <si>
    <t>Lightning Tendrils</t>
  </si>
  <si>
    <t>2 Mana</t>
  </si>
  <si>
    <t>Talion</t>
  </si>
  <si>
    <t>Kamui Dile</t>
  </si>
  <si>
    <t>Lightning tendrils Resistance</t>
  </si>
  <si>
    <t>com benção</t>
  </si>
  <si>
    <t>sem benção</t>
  </si>
  <si>
    <t>Wind Tunnel</t>
  </si>
  <si>
    <t>3 Mana</t>
  </si>
  <si>
    <t>Bounces up to 3 times. +2 Mana Cost for each bounce. Bounces between close targets, dealing half damage.</t>
  </si>
  <si>
    <t>Crystal Power</t>
  </si>
  <si>
    <t>Crystal Surge</t>
  </si>
  <si>
    <t>Gains 2 Mana per Turn</t>
  </si>
  <si>
    <t>Agility + Energy</t>
  </si>
  <si>
    <t>Crystal Magic damage ignores Guard. Gain magic damage on attack using Energy.</t>
  </si>
  <si>
    <t>See Skills</t>
  </si>
  <si>
    <t>Celestial Lazuli damage ignores guard</t>
  </si>
  <si>
    <t>Swipe</t>
  </si>
  <si>
    <t>Bite</t>
  </si>
  <si>
    <t>Attacks with it's beak, dealing Might damage.</t>
  </si>
  <si>
    <t>Slashes with Celestial Lazuli claws, dealing Might-2 + Energy.</t>
  </si>
  <si>
    <t>Creates a gust of wind that pushes foes away. CR 18 for resistance (roll 1d20+size).</t>
  </si>
  <si>
    <t>when hit with elemental/entropy damage. roll 1d20 CR11+Spell's Attribute. If CR achieved gain damage for 3 attacks equal to the spell attribute-2.</t>
  </si>
  <si>
    <t>CR to hit</t>
  </si>
  <si>
    <t>Normal</t>
  </si>
  <si>
    <t>Transpar.</t>
  </si>
  <si>
    <t>Invisible</t>
  </si>
  <si>
    <t>Might + Energy</t>
  </si>
  <si>
    <t>Agility/2 + Energy</t>
  </si>
  <si>
    <t>Crystal Magic damage ignores Guard. Gain magic damage on attack using Energy, negative bonus equal to target's Energy.</t>
  </si>
  <si>
    <t>CR 24 for instant invisibility. CR 19 for transparency(+5 CR to hitting her), and invisibility next turn (CR +10 to hitting her)</t>
  </si>
  <si>
    <t>Iniciative</t>
  </si>
  <si>
    <t>Defense</t>
  </si>
  <si>
    <t>Guard</t>
  </si>
  <si>
    <t>Dodge</t>
  </si>
  <si>
    <t>Dmg OUT</t>
  </si>
  <si>
    <t>Dmg IN</t>
  </si>
  <si>
    <t>XP</t>
  </si>
  <si>
    <t>LEVEL</t>
  </si>
  <si>
    <t>Qnt</t>
  </si>
  <si>
    <t>AR</t>
  </si>
  <si>
    <t>MP:</t>
  </si>
  <si>
    <t>Banes &amp; Boons</t>
  </si>
  <si>
    <t>Stamina</t>
  </si>
  <si>
    <t>Bane or Boon?</t>
  </si>
  <si>
    <t>Power Level</t>
  </si>
  <si>
    <t>Level</t>
  </si>
  <si>
    <t>To Hit</t>
  </si>
  <si>
    <t>GUARD</t>
  </si>
  <si>
    <t>DODGE</t>
  </si>
  <si>
    <t>STAMINA: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</si>
</sst>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4"/>
      <color rgb="FF883406"/>
      <name val="Calibri"/>
      <family val="2"/>
      <scheme val="minor"/>
    </font>
    <font>
      <sz val="16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6"/>
      <color rgb="FF7E691C"/>
      <name val="Calibri"/>
      <family val="2"/>
      <scheme val="minor"/>
    </font>
    <font>
      <sz val="18"/>
      <color theme="1"/>
      <name val="Calibri"/>
      <family val="2"/>
      <scheme val="minor"/>
    </font>
    <font>
      <sz val="26"/>
      <color rgb="FF9C0006"/>
      <name val="Calibri"/>
      <family val="2"/>
      <scheme val="minor"/>
    </font>
    <font>
      <sz val="28"/>
      <color rgb="FF9C0006"/>
      <name val="Calibri"/>
      <family val="2"/>
      <scheme val="minor"/>
    </font>
    <font>
      <sz val="36"/>
      <color rgb="FF9C0006"/>
      <name val="Calibri"/>
      <family val="2"/>
      <scheme val="minor"/>
    </font>
    <font>
      <sz val="28"/>
      <color rgb="FF1741F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  <font>
      <sz val="22"/>
      <color rgb="FF9C6500"/>
      <name val="Calibri"/>
      <family val="2"/>
      <scheme val="minor"/>
    </font>
    <font>
      <sz val="16"/>
      <color theme="0"/>
      <name val="Calibri"/>
      <family val="2"/>
      <scheme val="minor"/>
    </font>
    <font>
      <sz val="12"/>
      <color rgb="FF9C6500"/>
      <name val="Calibri"/>
      <family val="2"/>
      <scheme val="minor"/>
    </font>
    <font>
      <sz val="22"/>
      <color rgb="FF006100"/>
      <name val="Calibri"/>
      <family val="2"/>
      <scheme val="minor"/>
    </font>
    <font>
      <sz val="22"/>
      <color rgb="FF9C0006"/>
      <name val="Calibri"/>
      <family val="2"/>
      <scheme val="minor"/>
    </font>
    <font>
      <sz val="20"/>
      <color rgb="FF9C0006"/>
      <name val="Calibri"/>
      <family val="2"/>
      <scheme val="minor"/>
    </font>
    <font>
      <sz val="22"/>
      <color rgb="FF1741F1"/>
      <name val="Calibri"/>
      <family val="2"/>
      <scheme val="minor"/>
    </font>
    <font>
      <sz val="20"/>
      <color rgb="FF1741F1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rgb="FF883406"/>
      <name val="Calibri"/>
      <family val="2"/>
      <scheme val="minor"/>
    </font>
    <font>
      <sz val="18"/>
      <color rgb="FF006100"/>
      <name val="Calibri"/>
      <family val="2"/>
      <scheme val="minor"/>
    </font>
    <font>
      <sz val="26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99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E7550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FED562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theme="1" tint="0.14999847407452621"/>
        <bgColor indexed="64"/>
      </patternFill>
    </fill>
  </fills>
  <borders count="55">
    <border>
      <left/>
      <right/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7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3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3" fillId="19" borderId="0" applyNumberFormat="0" applyBorder="0" applyAlignment="0" applyProtection="0"/>
    <xf numFmtId="0" fontId="10" fillId="26" borderId="23" applyNumberFormat="0" applyAlignment="0" applyProtection="0"/>
    <xf numFmtId="0" fontId="3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20" fillId="32" borderId="0" applyNumberFormat="0" applyBorder="0" applyAlignment="0" applyProtection="0"/>
    <xf numFmtId="0" fontId="21" fillId="33" borderId="0" applyNumberFormat="0" applyBorder="0" applyAlignment="0" applyProtection="0"/>
    <xf numFmtId="0" fontId="1" fillId="34" borderId="39" applyNumberFormat="0" applyFont="0" applyAlignment="0" applyProtection="0"/>
    <xf numFmtId="0" fontId="3" fillId="35" borderId="0" applyNumberFormat="0" applyBorder="0" applyAlignment="0" applyProtection="0"/>
  </cellStyleXfs>
  <cellXfs count="279">
    <xf numFmtId="0" fontId="0" fillId="0" borderId="0" xfId="0"/>
    <xf numFmtId="0" fontId="3" fillId="9" borderId="0" xfId="8"/>
    <xf numFmtId="0" fontId="6" fillId="0" borderId="0" xfId="0" applyFont="1" applyAlignment="1">
      <alignment vertical="center"/>
    </xf>
    <xf numFmtId="0" fontId="3" fillId="19" borderId="0" xfId="18"/>
    <xf numFmtId="0" fontId="1" fillId="13" borderId="1" xfId="12" applyBorder="1" applyAlignment="1">
      <alignment horizontal="center"/>
    </xf>
    <xf numFmtId="0" fontId="1" fillId="13" borderId="2" xfId="12" applyBorder="1" applyAlignment="1">
      <alignment horizontal="center"/>
    </xf>
    <xf numFmtId="0" fontId="1" fillId="14" borderId="4" xfId="13" applyBorder="1" applyAlignment="1">
      <alignment horizontal="center"/>
    </xf>
    <xf numFmtId="0" fontId="1" fillId="14" borderId="0" xfId="13" applyBorder="1" applyAlignment="1">
      <alignment horizontal="center"/>
    </xf>
    <xf numFmtId="0" fontId="1" fillId="13" borderId="4" xfId="12" applyBorder="1" applyAlignment="1">
      <alignment horizontal="center"/>
    </xf>
    <xf numFmtId="0" fontId="1" fillId="13" borderId="0" xfId="12" applyBorder="1" applyAlignment="1">
      <alignment horizontal="center"/>
    </xf>
    <xf numFmtId="0" fontId="1" fillId="18" borderId="9" xfId="17" applyBorder="1" applyAlignment="1">
      <alignment horizontal="center"/>
    </xf>
    <xf numFmtId="0" fontId="1" fillId="18" borderId="10" xfId="17" applyBorder="1" applyAlignment="1">
      <alignment horizontal="center"/>
    </xf>
    <xf numFmtId="0" fontId="1" fillId="17" borderId="4" xfId="16" applyBorder="1" applyAlignment="1">
      <alignment horizontal="center"/>
    </xf>
    <xf numFmtId="0" fontId="1" fillId="17" borderId="0" xfId="16" applyBorder="1" applyAlignment="1">
      <alignment horizontal="center"/>
    </xf>
    <xf numFmtId="0" fontId="1" fillId="18" borderId="4" xfId="17" applyBorder="1" applyAlignment="1">
      <alignment horizontal="center"/>
    </xf>
    <xf numFmtId="0" fontId="1" fillId="18" borderId="0" xfId="17" applyBorder="1" applyAlignment="1">
      <alignment horizontal="center"/>
    </xf>
    <xf numFmtId="0" fontId="1" fillId="4" borderId="4" xfId="3" applyBorder="1" applyAlignment="1">
      <alignment horizontal="center"/>
    </xf>
    <xf numFmtId="0" fontId="1" fillId="4" borderId="0" xfId="3" applyBorder="1" applyAlignment="1">
      <alignment horizontal="center"/>
    </xf>
    <xf numFmtId="0" fontId="1" fillId="5" borderId="4" xfId="4" applyBorder="1" applyAlignment="1">
      <alignment horizontal="center"/>
    </xf>
    <xf numFmtId="0" fontId="1" fillId="5" borderId="0" xfId="4" applyBorder="1" applyAlignment="1">
      <alignment horizontal="center"/>
    </xf>
    <xf numFmtId="0" fontId="1" fillId="5" borderId="5" xfId="4" applyBorder="1"/>
    <xf numFmtId="0" fontId="1" fillId="8" borderId="9" xfId="7" applyBorder="1" applyAlignment="1">
      <alignment horizontal="center"/>
    </xf>
    <xf numFmtId="0" fontId="1" fillId="8" borderId="10" xfId="7" applyBorder="1" applyAlignment="1">
      <alignment horizontal="center"/>
    </xf>
    <xf numFmtId="0" fontId="1" fillId="8" borderId="0" xfId="7" applyBorder="1" applyAlignment="1">
      <alignment horizontal="center"/>
    </xf>
    <xf numFmtId="0" fontId="1" fillId="7" borderId="4" xfId="6" applyBorder="1" applyAlignment="1">
      <alignment horizontal="center"/>
    </xf>
    <xf numFmtId="0" fontId="1" fillId="7" borderId="0" xfId="6" applyBorder="1" applyAlignment="1">
      <alignment horizontal="center"/>
    </xf>
    <xf numFmtId="0" fontId="1" fillId="8" borderId="4" xfId="7" applyBorder="1" applyAlignment="1">
      <alignment horizontal="center"/>
    </xf>
    <xf numFmtId="0" fontId="3" fillId="11" borderId="4" xfId="10" applyBorder="1" applyAlignment="1">
      <alignment horizontal="center"/>
    </xf>
    <xf numFmtId="0" fontId="3" fillId="11" borderId="12" xfId="10" applyBorder="1" applyAlignment="1">
      <alignment horizontal="center"/>
    </xf>
    <xf numFmtId="0" fontId="3" fillId="11" borderId="5" xfId="10" applyBorder="1" applyAlignment="1">
      <alignment horizontal="center"/>
    </xf>
    <xf numFmtId="0" fontId="9" fillId="23" borderId="0" xfId="0" applyFont="1" applyFill="1"/>
    <xf numFmtId="0" fontId="0" fillId="7" borderId="5" xfId="6" applyFont="1" applyBorder="1"/>
    <xf numFmtId="0" fontId="0" fillId="8" borderId="5" xfId="7" applyFont="1" applyBorder="1"/>
    <xf numFmtId="0" fontId="0" fillId="8" borderId="11" xfId="7" applyFont="1" applyBorder="1"/>
    <xf numFmtId="0" fontId="0" fillId="4" borderId="5" xfId="3" applyFont="1" applyBorder="1"/>
    <xf numFmtId="0" fontId="0" fillId="5" borderId="5" xfId="4" applyFont="1" applyBorder="1"/>
    <xf numFmtId="0" fontId="0" fillId="18" borderId="5" xfId="17" applyFont="1" applyBorder="1"/>
    <xf numFmtId="0" fontId="0" fillId="17" borderId="5" xfId="16" applyFont="1" applyBorder="1"/>
    <xf numFmtId="0" fontId="0" fillId="18" borderId="11" xfId="17" applyFont="1" applyBorder="1"/>
    <xf numFmtId="0" fontId="0" fillId="14" borderId="5" xfId="13" applyFont="1" applyBorder="1"/>
    <xf numFmtId="0" fontId="0" fillId="13" borderId="5" xfId="12" applyFont="1" applyBorder="1"/>
    <xf numFmtId="0" fontId="0" fillId="13" borderId="3" xfId="12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3" fillId="15" borderId="0" xfId="14" applyAlignment="1">
      <alignment horizontal="center" vertical="center"/>
    </xf>
    <xf numFmtId="0" fontId="3" fillId="29" borderId="30" xfId="22" applyBorder="1" applyAlignment="1">
      <alignment horizontal="center"/>
    </xf>
    <xf numFmtId="0" fontId="9" fillId="23" borderId="0" xfId="0" applyFont="1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wrapText="1"/>
    </xf>
    <xf numFmtId="0" fontId="9" fillId="23" borderId="0" xfId="0" applyFont="1" applyFill="1" applyAlignment="1">
      <alignment horizontal="center"/>
    </xf>
    <xf numFmtId="0" fontId="0" fillId="0" borderId="0" xfId="0" quotePrefix="1"/>
    <xf numFmtId="0" fontId="1" fillId="18" borderId="36" xfId="17" applyBorder="1" applyAlignment="1">
      <alignment horizontal="center" vertical="center"/>
    </xf>
    <xf numFmtId="0" fontId="1" fillId="17" borderId="21" xfId="16" applyBorder="1" applyAlignment="1">
      <alignment horizontal="center" vertical="center"/>
    </xf>
    <xf numFmtId="0" fontId="1" fillId="18" borderId="37" xfId="17" applyBorder="1" applyAlignment="1">
      <alignment horizontal="center" vertical="center"/>
    </xf>
    <xf numFmtId="0" fontId="1" fillId="18" borderId="38" xfId="17" applyBorder="1" applyAlignment="1">
      <alignment horizontal="center" vertical="center"/>
    </xf>
    <xf numFmtId="0" fontId="1" fillId="17" borderId="20" xfId="16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9" borderId="22" xfId="22" applyBorder="1" applyAlignment="1">
      <alignment horizontal="center" vertical="center"/>
    </xf>
    <xf numFmtId="0" fontId="3" fillId="29" borderId="21" xfId="22" applyBorder="1" applyAlignment="1">
      <alignment horizontal="center" vertical="center"/>
    </xf>
    <xf numFmtId="0" fontId="3" fillId="12" borderId="0" xfId="11" applyAlignment="1">
      <alignment horizontal="center" vertical="center"/>
    </xf>
    <xf numFmtId="0" fontId="3" fillId="6" borderId="0" xfId="5" applyAlignment="1">
      <alignment horizont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3" fillId="16" borderId="0" xfId="15" applyAlignment="1">
      <alignment horizontal="center"/>
    </xf>
    <xf numFmtId="0" fontId="3" fillId="27" borderId="16" xfId="20" applyBorder="1" applyAlignment="1">
      <alignment horizontal="center" vertical="center"/>
    </xf>
    <xf numFmtId="0" fontId="3" fillId="27" borderId="18" xfId="20" applyBorder="1" applyAlignment="1">
      <alignment horizontal="center" vertical="center"/>
    </xf>
    <xf numFmtId="0" fontId="1" fillId="28" borderId="22" xfId="21" applyBorder="1" applyAlignment="1">
      <alignment horizontal="center" vertical="center"/>
    </xf>
    <xf numFmtId="0" fontId="1" fillId="28" borderId="21" xfId="21" applyBorder="1" applyAlignment="1">
      <alignment horizontal="center" vertical="center"/>
    </xf>
    <xf numFmtId="0" fontId="1" fillId="28" borderId="19" xfId="21" applyBorder="1" applyAlignment="1">
      <alignment horizontal="center" vertical="center"/>
    </xf>
    <xf numFmtId="0" fontId="1" fillId="28" borderId="20" xfId="21" applyBorder="1" applyAlignment="1">
      <alignment horizontal="center" vertical="center"/>
    </xf>
    <xf numFmtId="0" fontId="4" fillId="24" borderId="22" xfId="0" applyFont="1" applyFill="1" applyBorder="1" applyAlignment="1">
      <alignment horizontal="center" vertical="center"/>
    </xf>
    <xf numFmtId="0" fontId="4" fillId="24" borderId="19" xfId="0" applyFont="1" applyFill="1" applyBorder="1" applyAlignment="1">
      <alignment horizontal="center" vertical="center"/>
    </xf>
    <xf numFmtId="0" fontId="15" fillId="25" borderId="21" xfId="0" applyFont="1" applyFill="1" applyBorder="1" applyAlignment="1">
      <alignment horizontal="center" vertical="center"/>
    </xf>
    <xf numFmtId="0" fontId="15" fillId="25" borderId="20" xfId="0" applyFont="1" applyFill="1" applyBorder="1" applyAlignment="1">
      <alignment horizontal="center" vertical="center"/>
    </xf>
    <xf numFmtId="0" fontId="11" fillId="30" borderId="16" xfId="19" applyFont="1" applyFill="1" applyBorder="1" applyAlignment="1">
      <alignment horizontal="center" vertical="center"/>
    </xf>
    <xf numFmtId="0" fontId="11" fillId="30" borderId="24" xfId="19" applyFont="1" applyFill="1" applyBorder="1" applyAlignment="1">
      <alignment horizontal="center" vertical="center"/>
    </xf>
    <xf numFmtId="0" fontId="12" fillId="30" borderId="18" xfId="19" applyFont="1" applyFill="1" applyBorder="1" applyAlignment="1">
      <alignment horizontal="center" vertical="center"/>
    </xf>
    <xf numFmtId="0" fontId="12" fillId="30" borderId="25" xfId="19" applyFont="1" applyFill="1" applyBorder="1" applyAlignment="1">
      <alignment horizontal="center" vertical="center"/>
    </xf>
    <xf numFmtId="0" fontId="13" fillId="31" borderId="26" xfId="19" applyFont="1" applyFill="1" applyBorder="1" applyAlignment="1">
      <alignment horizontal="center" vertical="center"/>
    </xf>
    <xf numFmtId="0" fontId="13" fillId="31" borderId="19" xfId="19" applyFont="1" applyFill="1" applyBorder="1" applyAlignment="1">
      <alignment horizontal="center" vertical="center"/>
    </xf>
    <xf numFmtId="0" fontId="14" fillId="31" borderId="27" xfId="19" applyFont="1" applyFill="1" applyBorder="1" applyAlignment="1">
      <alignment horizontal="center" vertical="center"/>
    </xf>
    <xf numFmtId="0" fontId="14" fillId="31" borderId="20" xfId="19" applyFont="1" applyFill="1" applyBorder="1" applyAlignment="1">
      <alignment horizontal="center" vertical="center"/>
    </xf>
    <xf numFmtId="0" fontId="3" fillId="10" borderId="15" xfId="9" applyBorder="1" applyAlignment="1">
      <alignment horizontal="center"/>
    </xf>
    <xf numFmtId="0" fontId="3" fillId="10" borderId="14" xfId="9" applyBorder="1" applyAlignment="1">
      <alignment horizontal="center"/>
    </xf>
    <xf numFmtId="0" fontId="3" fillId="10" borderId="13" xfId="9" applyBorder="1" applyAlignment="1">
      <alignment horizontal="center"/>
    </xf>
    <xf numFmtId="0" fontId="7" fillId="2" borderId="16" xfId="1" applyFont="1" applyBorder="1" applyAlignment="1">
      <alignment horizontal="center" vertical="center"/>
    </xf>
    <xf numFmtId="0" fontId="7" fillId="2" borderId="19" xfId="1" applyFont="1" applyBorder="1" applyAlignment="1">
      <alignment horizontal="center" vertical="center"/>
    </xf>
    <xf numFmtId="0" fontId="7" fillId="2" borderId="17" xfId="1" applyFont="1" applyBorder="1" applyAlignment="1">
      <alignment horizontal="center" vertical="center"/>
    </xf>
    <xf numFmtId="0" fontId="7" fillId="2" borderId="10" xfId="1" applyFont="1" applyBorder="1" applyAlignment="1">
      <alignment horizontal="center" vertical="center"/>
    </xf>
    <xf numFmtId="0" fontId="7" fillId="2" borderId="18" xfId="1" applyFont="1" applyBorder="1" applyAlignment="1">
      <alignment horizontal="center" vertical="center"/>
    </xf>
    <xf numFmtId="0" fontId="7" fillId="2" borderId="20" xfId="1" applyFont="1" applyBorder="1" applyAlignment="1">
      <alignment horizontal="center" vertical="center"/>
    </xf>
    <xf numFmtId="0" fontId="4" fillId="28" borderId="33" xfId="21" applyFont="1" applyBorder="1" applyAlignment="1">
      <alignment horizontal="center" vertical="center"/>
    </xf>
    <xf numFmtId="0" fontId="4" fillId="28" borderId="19" xfId="21" applyFont="1" applyBorder="1" applyAlignment="1">
      <alignment horizontal="center" vertical="center"/>
    </xf>
    <xf numFmtId="0" fontId="4" fillId="28" borderId="34" xfId="21" applyFont="1" applyBorder="1" applyAlignment="1">
      <alignment horizontal="center" vertical="center"/>
    </xf>
    <xf numFmtId="0" fontId="4" fillId="28" borderId="35" xfId="21" applyFont="1" applyBorder="1" applyAlignment="1">
      <alignment horizontal="center" vertical="center"/>
    </xf>
    <xf numFmtId="0" fontId="4" fillId="28" borderId="10" xfId="21" applyFont="1" applyBorder="1" applyAlignment="1">
      <alignment horizontal="center" vertical="center"/>
    </xf>
    <xf numFmtId="0" fontId="4" fillId="28" borderId="20" xfId="21" applyFont="1" applyBorder="1" applyAlignment="1">
      <alignment horizontal="center" vertical="center"/>
    </xf>
    <xf numFmtId="0" fontId="3" fillId="27" borderId="28" xfId="20" applyBorder="1" applyAlignment="1">
      <alignment horizontal="center"/>
    </xf>
    <xf numFmtId="0" fontId="3" fillId="27" borderId="7" xfId="20" applyBorder="1" applyAlignment="1">
      <alignment horizontal="center"/>
    </xf>
    <xf numFmtId="0" fontId="3" fillId="27" borderId="29" xfId="20" applyBorder="1" applyAlignment="1">
      <alignment horizontal="center"/>
    </xf>
    <xf numFmtId="0" fontId="3" fillId="29" borderId="31" xfId="22" applyBorder="1" applyAlignment="1">
      <alignment horizontal="center"/>
    </xf>
    <xf numFmtId="0" fontId="3" fillId="29" borderId="32" xfId="22" applyBorder="1" applyAlignment="1">
      <alignment horizontal="center"/>
    </xf>
    <xf numFmtId="0" fontId="3" fillId="6" borderId="8" xfId="5" applyBorder="1" applyAlignment="1">
      <alignment horizontal="center"/>
    </xf>
    <xf numFmtId="0" fontId="3" fillId="6" borderId="7" xfId="5" applyBorder="1" applyAlignment="1">
      <alignment horizontal="center"/>
    </xf>
    <xf numFmtId="0" fontId="3" fillId="6" borderId="6" xfId="5" applyBorder="1" applyAlignment="1">
      <alignment horizontal="center"/>
    </xf>
    <xf numFmtId="0" fontId="8" fillId="20" borderId="16" xfId="1" applyFont="1" applyFill="1" applyBorder="1" applyAlignment="1">
      <alignment horizontal="center" vertical="center"/>
    </xf>
    <xf numFmtId="0" fontId="8" fillId="20" borderId="19" xfId="1" applyFont="1" applyFill="1" applyBorder="1" applyAlignment="1">
      <alignment horizontal="center" vertical="center"/>
    </xf>
    <xf numFmtId="0" fontId="8" fillId="20" borderId="17" xfId="1" applyFont="1" applyFill="1" applyBorder="1" applyAlignment="1">
      <alignment horizontal="center" vertical="center"/>
    </xf>
    <xf numFmtId="0" fontId="8" fillId="20" borderId="10" xfId="1" applyFont="1" applyFill="1" applyBorder="1" applyAlignment="1">
      <alignment horizontal="center" vertical="center"/>
    </xf>
    <xf numFmtId="0" fontId="8" fillId="20" borderId="18" xfId="1" applyFont="1" applyFill="1" applyBorder="1" applyAlignment="1">
      <alignment horizontal="center" vertical="center"/>
    </xf>
    <xf numFmtId="0" fontId="8" fillId="20" borderId="20" xfId="1" applyFont="1" applyFill="1" applyBorder="1" applyAlignment="1">
      <alignment horizontal="center" vertical="center"/>
    </xf>
    <xf numFmtId="0" fontId="4" fillId="21" borderId="16" xfId="0" applyFont="1" applyFill="1" applyBorder="1" applyAlignment="1">
      <alignment horizontal="center" vertical="center"/>
    </xf>
    <xf numFmtId="0" fontId="4" fillId="21" borderId="19" xfId="0" applyFont="1" applyFill="1" applyBorder="1" applyAlignment="1">
      <alignment horizontal="center" vertical="center"/>
    </xf>
    <xf numFmtId="0" fontId="5" fillId="22" borderId="17" xfId="0" applyFont="1" applyFill="1" applyBorder="1" applyAlignment="1">
      <alignment horizontal="center" vertical="center"/>
    </xf>
    <xf numFmtId="0" fontId="5" fillId="22" borderId="18" xfId="0" applyFont="1" applyFill="1" applyBorder="1" applyAlignment="1">
      <alignment horizontal="center" vertical="center"/>
    </xf>
    <xf numFmtId="0" fontId="5" fillId="22" borderId="10" xfId="0" applyFont="1" applyFill="1" applyBorder="1" applyAlignment="1">
      <alignment horizontal="center" vertical="center"/>
    </xf>
    <xf numFmtId="0" fontId="5" fillId="22" borderId="20" xfId="0" applyFont="1" applyFill="1" applyBorder="1" applyAlignment="1">
      <alignment horizontal="center" vertical="center"/>
    </xf>
    <xf numFmtId="0" fontId="3" fillId="3" borderId="8" xfId="2" applyBorder="1" applyAlignment="1">
      <alignment horizontal="center"/>
    </xf>
    <xf numFmtId="0" fontId="3" fillId="3" borderId="7" xfId="2" applyBorder="1" applyAlignment="1">
      <alignment horizontal="center"/>
    </xf>
    <xf numFmtId="0" fontId="3" fillId="3" borderId="6" xfId="2" applyBorder="1" applyAlignment="1">
      <alignment horizontal="center"/>
    </xf>
    <xf numFmtId="0" fontId="3" fillId="16" borderId="8" xfId="15" applyBorder="1" applyAlignment="1">
      <alignment horizontal="center"/>
    </xf>
    <xf numFmtId="0" fontId="3" fillId="16" borderId="7" xfId="15" applyBorder="1" applyAlignment="1">
      <alignment horizontal="center"/>
    </xf>
    <xf numFmtId="0" fontId="3" fillId="16" borderId="6" xfId="15" applyBorder="1" applyAlignment="1">
      <alignment horizontal="center"/>
    </xf>
    <xf numFmtId="0" fontId="3" fillId="12" borderId="8" xfId="11" applyBorder="1" applyAlignment="1">
      <alignment horizontal="center"/>
    </xf>
    <xf numFmtId="0" fontId="3" fillId="12" borderId="7" xfId="11" applyBorder="1" applyAlignment="1">
      <alignment horizontal="center"/>
    </xf>
    <xf numFmtId="0" fontId="3" fillId="12" borderId="6" xfId="11" applyBorder="1" applyAlignment="1">
      <alignment horizontal="center"/>
    </xf>
    <xf numFmtId="0" fontId="4" fillId="24" borderId="16" xfId="0" applyFont="1" applyFill="1" applyBorder="1" applyAlignment="1">
      <alignment horizontal="center" vertical="center"/>
    </xf>
    <xf numFmtId="0" fontId="15" fillId="25" borderId="18" xfId="0" applyFont="1" applyFill="1" applyBorder="1" applyAlignment="1">
      <alignment horizontal="center" vertical="center"/>
    </xf>
    <xf numFmtId="0" fontId="18" fillId="2" borderId="17" xfId="1" applyFont="1" applyBorder="1" applyAlignment="1">
      <alignment horizontal="center" vertical="center"/>
    </xf>
    <xf numFmtId="0" fontId="18" fillId="2" borderId="10" xfId="1" applyFont="1" applyBorder="1" applyAlignment="1">
      <alignment horizontal="center" vertical="center"/>
    </xf>
    <xf numFmtId="0" fontId="18" fillId="2" borderId="18" xfId="1" applyFont="1" applyBorder="1" applyAlignment="1">
      <alignment horizontal="center" vertical="center"/>
    </xf>
    <xf numFmtId="0" fontId="18" fillId="2" borderId="20" xfId="1" applyFont="1" applyBorder="1" applyAlignment="1">
      <alignment horizontal="center" vertical="center"/>
    </xf>
    <xf numFmtId="0" fontId="16" fillId="2" borderId="17" xfId="1" applyFont="1" applyBorder="1" applyAlignment="1">
      <alignment horizontal="center" vertical="center"/>
    </xf>
    <xf numFmtId="0" fontId="16" fillId="2" borderId="10" xfId="1" applyFont="1" applyBorder="1" applyAlignment="1">
      <alignment horizontal="center" vertical="center"/>
    </xf>
    <xf numFmtId="0" fontId="16" fillId="2" borderId="18" xfId="1" applyFont="1" applyBorder="1" applyAlignment="1">
      <alignment horizontal="center" vertical="center"/>
    </xf>
    <xf numFmtId="0" fontId="16" fillId="2" borderId="20" xfId="1" applyFont="1" applyBorder="1" applyAlignment="1">
      <alignment horizontal="center" vertical="center"/>
    </xf>
    <xf numFmtId="0" fontId="17" fillId="2" borderId="17" xfId="1" applyFont="1" applyBorder="1" applyAlignment="1">
      <alignment horizontal="center" vertical="center"/>
    </xf>
    <xf numFmtId="0" fontId="17" fillId="2" borderId="10" xfId="1" applyFont="1" applyBorder="1" applyAlignment="1">
      <alignment horizontal="center" vertical="center"/>
    </xf>
    <xf numFmtId="0" fontId="17" fillId="2" borderId="18" xfId="1" applyFont="1" applyBorder="1" applyAlignment="1">
      <alignment horizontal="center" vertical="center"/>
    </xf>
    <xf numFmtId="0" fontId="17" fillId="2" borderId="20" xfId="1" applyFont="1" applyBorder="1" applyAlignment="1">
      <alignment horizontal="center" vertical="center"/>
    </xf>
    <xf numFmtId="0" fontId="3" fillId="16" borderId="28" xfId="15" applyBorder="1" applyAlignment="1">
      <alignment horizontal="center" vertical="center"/>
    </xf>
    <xf numFmtId="0" fontId="3" fillId="16" borderId="29" xfId="15" applyBorder="1" applyAlignment="1">
      <alignment horizontal="center" vertical="center"/>
    </xf>
    <xf numFmtId="0" fontId="19" fillId="20" borderId="17" xfId="1" applyFont="1" applyFill="1" applyBorder="1" applyAlignment="1">
      <alignment horizontal="center" vertical="center"/>
    </xf>
    <xf numFmtId="0" fontId="19" fillId="20" borderId="10" xfId="1" applyFont="1" applyFill="1" applyBorder="1" applyAlignment="1">
      <alignment horizontal="center" vertical="center"/>
    </xf>
    <xf numFmtId="0" fontId="19" fillId="20" borderId="18" xfId="1" applyFont="1" applyFill="1" applyBorder="1" applyAlignment="1">
      <alignment horizontal="center" vertical="center"/>
    </xf>
    <xf numFmtId="0" fontId="19" fillId="20" borderId="20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/>
    <xf numFmtId="0" fontId="3" fillId="10" borderId="40" xfId="9" applyBorder="1"/>
    <xf numFmtId="0" fontId="23" fillId="10" borderId="41" xfId="9" applyFont="1" applyBorder="1"/>
    <xf numFmtId="0" fontId="24" fillId="33" borderId="16" xfId="24" applyFont="1" applyBorder="1" applyAlignment="1">
      <alignment horizontal="center" vertical="center"/>
    </xf>
    <xf numFmtId="0" fontId="24" fillId="33" borderId="17" xfId="24" applyFont="1" applyBorder="1" applyAlignment="1">
      <alignment horizontal="center" vertical="center"/>
    </xf>
    <xf numFmtId="0" fontId="24" fillId="33" borderId="18" xfId="24" applyFont="1" applyBorder="1" applyAlignment="1">
      <alignment horizontal="center" vertical="center"/>
    </xf>
    <xf numFmtId="0" fontId="25" fillId="16" borderId="0" xfId="15" applyFont="1" applyAlignment="1">
      <alignment horizontal="center" vertical="center"/>
    </xf>
    <xf numFmtId="0" fontId="21" fillId="36" borderId="16" xfId="24" applyFill="1" applyBorder="1" applyAlignment="1">
      <alignment horizontal="center" vertical="center"/>
    </xf>
    <xf numFmtId="0" fontId="21" fillId="36" borderId="18" xfId="24" applyFill="1" applyBorder="1" applyAlignment="1">
      <alignment horizontal="center" vertical="center"/>
    </xf>
    <xf numFmtId="0" fontId="0" fillId="0" borderId="0" xfId="0" applyBorder="1"/>
    <xf numFmtId="0" fontId="24" fillId="33" borderId="19" xfId="24" applyFont="1" applyBorder="1" applyAlignment="1">
      <alignment horizontal="center" vertical="center"/>
    </xf>
    <xf numFmtId="0" fontId="24" fillId="33" borderId="10" xfId="24" applyFont="1" applyBorder="1" applyAlignment="1">
      <alignment horizontal="center" vertical="center"/>
    </xf>
    <xf numFmtId="0" fontId="24" fillId="33" borderId="20" xfId="2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21" fillId="36" borderId="37" xfId="24" applyFill="1" applyBorder="1" applyAlignment="1">
      <alignment horizontal="center" vertical="center"/>
    </xf>
    <xf numFmtId="0" fontId="26" fillId="33" borderId="42" xfId="24" applyFont="1" applyBorder="1" applyAlignment="1">
      <alignment horizontal="center" vertical="center"/>
    </xf>
    <xf numFmtId="0" fontId="3" fillId="19" borderId="0" xfId="18" applyAlignment="1">
      <alignment horizontal="center" vertical="center"/>
    </xf>
    <xf numFmtId="0" fontId="21" fillId="36" borderId="38" xfId="24" applyFill="1" applyBorder="1" applyAlignment="1">
      <alignment horizontal="center" vertical="center"/>
    </xf>
    <xf numFmtId="0" fontId="26" fillId="33" borderId="20" xfId="24" applyFont="1" applyBorder="1" applyAlignment="1">
      <alignment horizontal="center" vertical="center"/>
    </xf>
    <xf numFmtId="0" fontId="1" fillId="8" borderId="5" xfId="7" applyBorder="1"/>
    <xf numFmtId="0" fontId="0" fillId="0" borderId="0" xfId="0" applyAlignment="1">
      <alignment horizontal="left"/>
    </xf>
    <xf numFmtId="0" fontId="1" fillId="7" borderId="5" xfId="6" applyBorder="1"/>
    <xf numFmtId="0" fontId="0" fillId="0" borderId="0" xfId="0" applyAlignment="1">
      <alignment horizontal="center"/>
    </xf>
    <xf numFmtId="0" fontId="27" fillId="32" borderId="16" xfId="23" applyFont="1" applyBorder="1" applyAlignment="1">
      <alignment horizontal="center"/>
    </xf>
    <xf numFmtId="0" fontId="27" fillId="32" borderId="18" xfId="23" applyFont="1" applyBorder="1" applyAlignment="1">
      <alignment horizontal="center"/>
    </xf>
    <xf numFmtId="0" fontId="1" fillId="8" borderId="11" xfId="7" applyBorder="1"/>
    <xf numFmtId="0" fontId="28" fillId="2" borderId="16" xfId="1" applyFont="1" applyBorder="1" applyAlignment="1">
      <alignment horizontal="center" vertical="center"/>
    </xf>
    <xf numFmtId="0" fontId="29" fillId="2" borderId="17" xfId="1" applyFont="1" applyBorder="1" applyAlignment="1">
      <alignment horizontal="center" vertical="center"/>
    </xf>
    <xf numFmtId="0" fontId="28" fillId="2" borderId="17" xfId="1" applyFont="1" applyBorder="1" applyAlignment="1">
      <alignment horizontal="center" vertical="center"/>
    </xf>
    <xf numFmtId="0" fontId="29" fillId="2" borderId="18" xfId="1" applyFont="1" applyBorder="1" applyAlignment="1">
      <alignment horizontal="center" vertical="center"/>
    </xf>
    <xf numFmtId="0" fontId="27" fillId="32" borderId="19" xfId="23" applyFont="1" applyBorder="1" applyAlignment="1">
      <alignment horizontal="center"/>
    </xf>
    <xf numFmtId="0" fontId="27" fillId="32" borderId="20" xfId="23" applyFont="1" applyBorder="1" applyAlignment="1">
      <alignment horizontal="center"/>
    </xf>
    <xf numFmtId="0" fontId="28" fillId="2" borderId="19" xfId="1" applyFont="1" applyBorder="1" applyAlignment="1">
      <alignment horizontal="center" vertical="center"/>
    </xf>
    <xf numFmtId="0" fontId="29" fillId="2" borderId="10" xfId="1" applyFont="1" applyBorder="1" applyAlignment="1">
      <alignment horizontal="center" vertical="center"/>
    </xf>
    <xf numFmtId="0" fontId="28" fillId="2" borderId="10" xfId="1" applyFont="1" applyBorder="1" applyAlignment="1">
      <alignment horizontal="center" vertical="center"/>
    </xf>
    <xf numFmtId="0" fontId="29" fillId="2" borderId="20" xfId="1" applyFont="1" applyBorder="1" applyAlignment="1">
      <alignment horizontal="center" vertical="center"/>
    </xf>
    <xf numFmtId="0" fontId="30" fillId="20" borderId="16" xfId="1" applyFont="1" applyFill="1" applyBorder="1" applyAlignment="1">
      <alignment horizontal="center" vertical="center"/>
    </xf>
    <xf numFmtId="0" fontId="31" fillId="20" borderId="17" xfId="1" applyFont="1" applyFill="1" applyBorder="1" applyAlignment="1">
      <alignment horizontal="center" vertical="center"/>
    </xf>
    <xf numFmtId="0" fontId="30" fillId="20" borderId="17" xfId="1" applyFont="1" applyFill="1" applyBorder="1" applyAlignment="1">
      <alignment horizontal="center" vertical="center"/>
    </xf>
    <xf numFmtId="0" fontId="31" fillId="20" borderId="18" xfId="1" applyFont="1" applyFill="1" applyBorder="1" applyAlignment="1">
      <alignment horizontal="center" vertical="center"/>
    </xf>
    <xf numFmtId="0" fontId="1" fillId="4" borderId="5" xfId="3" applyBorder="1"/>
    <xf numFmtId="0" fontId="30" fillId="20" borderId="19" xfId="1" applyFont="1" applyFill="1" applyBorder="1" applyAlignment="1">
      <alignment horizontal="center" vertical="center"/>
    </xf>
    <xf numFmtId="0" fontId="31" fillId="20" borderId="10" xfId="1" applyFont="1" applyFill="1" applyBorder="1" applyAlignment="1">
      <alignment horizontal="center" vertical="center"/>
    </xf>
    <xf numFmtId="0" fontId="30" fillId="20" borderId="10" xfId="1" applyFont="1" applyFill="1" applyBorder="1" applyAlignment="1">
      <alignment horizontal="center" vertical="center"/>
    </xf>
    <xf numFmtId="0" fontId="31" fillId="20" borderId="20" xfId="1" applyFont="1" applyFill="1" applyBorder="1" applyAlignment="1">
      <alignment horizontal="center" vertical="center"/>
    </xf>
    <xf numFmtId="0" fontId="12" fillId="30" borderId="17" xfId="19" applyFont="1" applyFill="1" applyBorder="1" applyAlignment="1">
      <alignment horizontal="center" vertical="center"/>
    </xf>
    <xf numFmtId="0" fontId="0" fillId="0" borderId="0" xfId="0" applyAlignment="1"/>
    <xf numFmtId="0" fontId="12" fillId="30" borderId="43" xfId="19" applyFont="1" applyFill="1" applyBorder="1" applyAlignment="1">
      <alignment horizontal="center" vertical="center"/>
    </xf>
    <xf numFmtId="0" fontId="1" fillId="18" borderId="5" xfId="17" applyBorder="1"/>
    <xf numFmtId="0" fontId="14" fillId="31" borderId="44" xfId="19" applyFont="1" applyFill="1" applyBorder="1" applyAlignment="1">
      <alignment horizontal="center" vertical="center"/>
    </xf>
    <xf numFmtId="0" fontId="1" fillId="17" borderId="5" xfId="16" applyBorder="1"/>
    <xf numFmtId="0" fontId="14" fillId="31" borderId="10" xfId="19" applyFont="1" applyFill="1" applyBorder="1" applyAlignment="1">
      <alignment horizontal="center" vertical="center"/>
    </xf>
    <xf numFmtId="0" fontId="1" fillId="18" borderId="11" xfId="17" applyBorder="1"/>
    <xf numFmtId="0" fontId="32" fillId="37" borderId="16" xfId="0" applyFont="1" applyFill="1" applyBorder="1" applyAlignment="1">
      <alignment horizontal="center" vertical="center"/>
    </xf>
    <xf numFmtId="0" fontId="32" fillId="37" borderId="17" xfId="0" applyFont="1" applyFill="1" applyBorder="1" applyAlignment="1">
      <alignment horizontal="center" vertical="center"/>
    </xf>
    <xf numFmtId="0" fontId="33" fillId="37" borderId="18" xfId="0" applyFont="1" applyFill="1" applyBorder="1" applyAlignment="1">
      <alignment horizontal="center" vertical="center"/>
    </xf>
    <xf numFmtId="0" fontId="1" fillId="14" borderId="5" xfId="13" applyBorder="1"/>
    <xf numFmtId="0" fontId="32" fillId="37" borderId="45" xfId="0" applyFont="1" applyFill="1" applyBorder="1" applyAlignment="1">
      <alignment horizontal="center" vertical="center"/>
    </xf>
    <xf numFmtId="0" fontId="32" fillId="37" borderId="46" xfId="0" applyFont="1" applyFill="1" applyBorder="1" applyAlignment="1">
      <alignment horizontal="center" vertical="center"/>
    </xf>
    <xf numFmtId="0" fontId="33" fillId="37" borderId="47" xfId="0" applyFont="1" applyFill="1" applyBorder="1" applyAlignment="1">
      <alignment horizontal="center" vertical="center"/>
    </xf>
    <xf numFmtId="0" fontId="1" fillId="13" borderId="5" xfId="12" applyBorder="1"/>
    <xf numFmtId="0" fontId="34" fillId="38" borderId="22" xfId="0" applyFont="1" applyFill="1" applyBorder="1" applyAlignment="1">
      <alignment horizontal="center" vertical="center"/>
    </xf>
    <xf numFmtId="0" fontId="34" fillId="38" borderId="0" xfId="0" applyFont="1" applyFill="1" applyBorder="1" applyAlignment="1">
      <alignment horizontal="center" vertical="center"/>
    </xf>
    <xf numFmtId="0" fontId="35" fillId="38" borderId="21" xfId="0" applyFont="1" applyFill="1" applyBorder="1" applyAlignment="1">
      <alignment horizontal="center" vertical="center"/>
    </xf>
    <xf numFmtId="0" fontId="34" fillId="38" borderId="45" xfId="0" applyFont="1" applyFill="1" applyBorder="1" applyAlignment="1">
      <alignment horizontal="center" vertical="center"/>
    </xf>
    <xf numFmtId="0" fontId="34" fillId="38" borderId="46" xfId="0" applyFont="1" applyFill="1" applyBorder="1" applyAlignment="1">
      <alignment horizontal="center" vertical="center"/>
    </xf>
    <xf numFmtId="0" fontId="35" fillId="38" borderId="47" xfId="0" applyFont="1" applyFill="1" applyBorder="1" applyAlignment="1">
      <alignment horizontal="center" vertical="center"/>
    </xf>
    <xf numFmtId="0" fontId="36" fillId="36" borderId="22" xfId="0" applyFont="1" applyFill="1" applyBorder="1" applyAlignment="1">
      <alignment horizontal="center" vertical="center"/>
    </xf>
    <xf numFmtId="0" fontId="36" fillId="36" borderId="0" xfId="0" applyFont="1" applyFill="1" applyBorder="1" applyAlignment="1">
      <alignment horizontal="center" vertical="center"/>
    </xf>
    <xf numFmtId="0" fontId="37" fillId="36" borderId="21" xfId="0" applyFont="1" applyFill="1" applyBorder="1" applyAlignment="1">
      <alignment horizontal="center" vertical="center"/>
    </xf>
    <xf numFmtId="0" fontId="36" fillId="36" borderId="19" xfId="0" applyFont="1" applyFill="1" applyBorder="1" applyAlignment="1">
      <alignment horizontal="center" vertical="center"/>
    </xf>
    <xf numFmtId="0" fontId="36" fillId="36" borderId="10" xfId="0" applyFont="1" applyFill="1" applyBorder="1" applyAlignment="1">
      <alignment horizontal="center" vertical="center"/>
    </xf>
    <xf numFmtId="0" fontId="37" fillId="36" borderId="20" xfId="0" applyFont="1" applyFill="1" applyBorder="1" applyAlignment="1">
      <alignment horizontal="center" vertical="center"/>
    </xf>
    <xf numFmtId="0" fontId="38" fillId="34" borderId="48" xfId="25" applyFont="1" applyBorder="1" applyAlignment="1">
      <alignment horizontal="center" vertical="center" wrapText="1"/>
    </xf>
    <xf numFmtId="0" fontId="39" fillId="34" borderId="17" xfId="25" applyFont="1" applyBorder="1" applyAlignment="1">
      <alignment horizontal="center" vertical="center"/>
    </xf>
    <xf numFmtId="0" fontId="39" fillId="34" borderId="18" xfId="25" applyFont="1" applyBorder="1" applyAlignment="1">
      <alignment horizontal="center" vertical="center"/>
    </xf>
    <xf numFmtId="0" fontId="1" fillId="13" borderId="3" xfId="12" applyBorder="1"/>
    <xf numFmtId="0" fontId="38" fillId="34" borderId="49" xfId="25" applyFont="1" applyBorder="1" applyAlignment="1">
      <alignment horizontal="center" vertical="center" wrapText="1"/>
    </xf>
    <xf numFmtId="0" fontId="39" fillId="34" borderId="0" xfId="25" applyFont="1" applyBorder="1" applyAlignment="1">
      <alignment horizontal="center" vertical="center"/>
    </xf>
    <xf numFmtId="0" fontId="39" fillId="34" borderId="21" xfId="25" applyFont="1" applyBorder="1" applyAlignment="1">
      <alignment horizontal="center" vertical="center"/>
    </xf>
    <xf numFmtId="0" fontId="0" fillId="34" borderId="48" xfId="25" applyFont="1" applyBorder="1" applyAlignment="1">
      <alignment horizontal="center"/>
    </xf>
    <xf numFmtId="0" fontId="0" fillId="34" borderId="17" xfId="25" applyFont="1" applyBorder="1" applyAlignment="1">
      <alignment horizontal="center"/>
    </xf>
    <xf numFmtId="0" fontId="0" fillId="34" borderId="18" xfId="25" applyFont="1" applyBorder="1" applyAlignment="1">
      <alignment horizontal="center"/>
    </xf>
    <xf numFmtId="0" fontId="0" fillId="34" borderId="49" xfId="25" applyFont="1" applyBorder="1" applyAlignment="1">
      <alignment horizontal="center"/>
    </xf>
    <xf numFmtId="0" fontId="0" fillId="34" borderId="10" xfId="25" applyFont="1" applyBorder="1" applyAlignment="1">
      <alignment horizontal="center"/>
    </xf>
    <xf numFmtId="0" fontId="0" fillId="34" borderId="20" xfId="25" applyFont="1" applyBorder="1" applyAlignment="1">
      <alignment horizontal="center"/>
    </xf>
    <xf numFmtId="0" fontId="3" fillId="29" borderId="30" xfId="22" applyBorder="1" applyAlignment="1">
      <alignment horizontal="center"/>
    </xf>
    <xf numFmtId="0" fontId="3" fillId="29" borderId="50" xfId="22" applyBorder="1" applyAlignment="1">
      <alignment horizontal="center"/>
    </xf>
    <xf numFmtId="0" fontId="3" fillId="29" borderId="51" xfId="22" applyBorder="1" applyAlignment="1">
      <alignment horizontal="center"/>
    </xf>
    <xf numFmtId="0" fontId="4" fillId="28" borderId="22" xfId="21" applyFont="1" applyBorder="1" applyAlignment="1">
      <alignment horizontal="center" vertical="center"/>
    </xf>
    <xf numFmtId="0" fontId="4" fillId="28" borderId="0" xfId="21" applyFont="1" applyBorder="1" applyAlignment="1">
      <alignment horizontal="center" vertical="center"/>
    </xf>
    <xf numFmtId="0" fontId="4" fillId="28" borderId="21" xfId="21" applyFont="1" applyBorder="1" applyAlignment="1">
      <alignment horizontal="center" vertical="center"/>
    </xf>
    <xf numFmtId="0" fontId="10" fillId="26" borderId="52" xfId="19" applyBorder="1" applyAlignment="1">
      <alignment horizontal="center"/>
    </xf>
    <xf numFmtId="0" fontId="10" fillId="26" borderId="53" xfId="19" applyBorder="1" applyAlignment="1">
      <alignment horizontal="center"/>
    </xf>
    <xf numFmtId="0" fontId="10" fillId="26" borderId="54" xfId="19" applyBorder="1" applyAlignment="1">
      <alignment horizontal="center"/>
    </xf>
    <xf numFmtId="0" fontId="10" fillId="26" borderId="41" xfId="19" applyBorder="1" applyAlignment="1">
      <alignment horizontal="center"/>
    </xf>
    <xf numFmtId="0" fontId="9" fillId="3" borderId="0" xfId="2" applyFont="1" applyAlignment="1">
      <alignment horizontal="center" vertical="center"/>
    </xf>
    <xf numFmtId="0" fontId="12" fillId="30" borderId="40" xfId="19" applyFont="1" applyFill="1" applyBorder="1" applyAlignment="1">
      <alignment horizontal="center" vertical="center"/>
    </xf>
    <xf numFmtId="0" fontId="40" fillId="30" borderId="54" xfId="19" applyFont="1" applyFill="1" applyBorder="1" applyAlignment="1">
      <alignment horizontal="center" vertical="center"/>
    </xf>
    <xf numFmtId="0" fontId="40" fillId="30" borderId="54" xfId="19" applyFont="1" applyFill="1" applyBorder="1" applyAlignment="1">
      <alignment horizontal="center" vertical="center"/>
    </xf>
    <xf numFmtId="0" fontId="40" fillId="30" borderId="41" xfId="19" applyFont="1" applyFill="1" applyBorder="1" applyAlignment="1">
      <alignment horizontal="center" vertical="center"/>
    </xf>
    <xf numFmtId="0" fontId="23" fillId="39" borderId="0" xfId="0" applyFont="1" applyFill="1" applyAlignment="1">
      <alignment horizontal="center" vertical="center" wrapText="1"/>
    </xf>
    <xf numFmtId="0" fontId="23" fillId="39" borderId="0" xfId="0" applyFont="1" applyFill="1" applyAlignment="1">
      <alignment horizontal="center" vertical="center"/>
    </xf>
    <xf numFmtId="0" fontId="3" fillId="35" borderId="0" xfId="26" applyAlignment="1">
      <alignment horizontal="center" vertical="center"/>
    </xf>
    <xf numFmtId="0" fontId="3" fillId="35" borderId="0" xfId="26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7" fillId="2" borderId="22" xfId="1" applyFont="1" applyBorder="1" applyAlignment="1">
      <alignment horizontal="center" vertical="center"/>
    </xf>
    <xf numFmtId="0" fontId="7" fillId="2" borderId="0" xfId="1" applyFont="1" applyBorder="1" applyAlignment="1">
      <alignment horizontal="center" vertical="center"/>
    </xf>
    <xf numFmtId="0" fontId="7" fillId="2" borderId="21" xfId="1" applyFont="1" applyBorder="1" applyAlignment="1">
      <alignment horizontal="center" vertical="center"/>
    </xf>
    <xf numFmtId="0" fontId="15" fillId="24" borderId="16" xfId="0" applyFont="1" applyFill="1" applyBorder="1" applyAlignment="1">
      <alignment horizontal="center" vertical="center"/>
    </xf>
    <xf numFmtId="0" fontId="15" fillId="24" borderId="19" xfId="0" applyFont="1" applyFill="1" applyBorder="1" applyAlignment="1">
      <alignment horizontal="center" vertical="center"/>
    </xf>
    <xf numFmtId="0" fontId="41" fillId="32" borderId="16" xfId="23" applyFont="1" applyBorder="1" applyAlignment="1">
      <alignment horizontal="center" vertical="center"/>
    </xf>
    <xf numFmtId="0" fontId="41" fillId="32" borderId="17" xfId="23" applyFont="1" applyBorder="1" applyAlignment="1">
      <alignment horizontal="center" vertical="center"/>
    </xf>
    <xf numFmtId="0" fontId="41" fillId="32" borderId="18" xfId="23" applyFont="1" applyBorder="1" applyAlignment="1">
      <alignment horizontal="center" vertical="center"/>
    </xf>
    <xf numFmtId="0" fontId="41" fillId="32" borderId="19" xfId="23" applyFont="1" applyBorder="1" applyAlignment="1">
      <alignment horizontal="center" vertical="center"/>
    </xf>
    <xf numFmtId="0" fontId="41" fillId="32" borderId="10" xfId="23" applyFont="1" applyBorder="1" applyAlignment="1">
      <alignment horizontal="center" vertical="center"/>
    </xf>
    <xf numFmtId="0" fontId="41" fillId="32" borderId="20" xfId="23" applyFont="1" applyBorder="1" applyAlignment="1">
      <alignment horizontal="center" vertical="center"/>
    </xf>
    <xf numFmtId="0" fontId="42" fillId="25" borderId="17" xfId="0" applyFont="1" applyFill="1" applyBorder="1" applyAlignment="1">
      <alignment horizontal="center" vertical="center"/>
    </xf>
    <xf numFmtId="0" fontId="42" fillId="25" borderId="18" xfId="0" applyFont="1" applyFill="1" applyBorder="1" applyAlignment="1">
      <alignment horizontal="center" vertical="center"/>
    </xf>
    <xf numFmtId="0" fontId="42" fillId="25" borderId="10" xfId="0" applyFont="1" applyFill="1" applyBorder="1" applyAlignment="1">
      <alignment horizontal="center" vertical="center"/>
    </xf>
    <xf numFmtId="0" fontId="42" fillId="25" borderId="20" xfId="0" applyFont="1" applyFill="1" applyBorder="1" applyAlignment="1">
      <alignment horizontal="center" vertical="center"/>
    </xf>
  </cellXfs>
  <cellStyles count="27">
    <cellStyle name="20% - Accent1" xfId="3" builtinId="30"/>
    <cellStyle name="20% - Accent2" xfId="6" builtinId="34"/>
    <cellStyle name="20% - Accent4" xfId="12" builtinId="42"/>
    <cellStyle name="20% - Accent5" xfId="21" builtinId="46"/>
    <cellStyle name="20% - Accent6" xfId="16" builtinId="50"/>
    <cellStyle name="40% - Accent1" xfId="4" builtinId="31"/>
    <cellStyle name="40% - Accent2" xfId="7" builtinId="35"/>
    <cellStyle name="40% - Accent4" xfId="13" builtinId="43"/>
    <cellStyle name="40% - Accent6" xfId="17" builtinId="51"/>
    <cellStyle name="60% - Accent1" xfId="26" builtinId="32"/>
    <cellStyle name="60% - Accent2" xfId="8" builtinId="36"/>
    <cellStyle name="60% - Accent3" xfId="10" builtinId="40"/>
    <cellStyle name="60% - Accent4" xfId="14" builtinId="44"/>
    <cellStyle name="60% - Accent5" xfId="22" builtinId="48"/>
    <cellStyle name="60% - Accent6" xfId="18" builtinId="52"/>
    <cellStyle name="Accent1" xfId="2" builtinId="29"/>
    <cellStyle name="Accent2" xfId="5" builtinId="33"/>
    <cellStyle name="Accent3" xfId="9" builtinId="37"/>
    <cellStyle name="Accent4" xfId="11" builtinId="41"/>
    <cellStyle name="Accent5" xfId="20" builtinId="45"/>
    <cellStyle name="Accent6" xfId="15" builtinId="49"/>
    <cellStyle name="Bad" xfId="1" builtinId="27"/>
    <cellStyle name="Good" xfId="23" builtinId="26"/>
    <cellStyle name="Input" xfId="19" builtinId="20"/>
    <cellStyle name="Neutral" xfId="24" builtinId="28"/>
    <cellStyle name="Normal" xfId="0" builtinId="0"/>
    <cellStyle name="Note" xfId="25" builtinId="10"/>
  </cellStyles>
  <dxfs count="48"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7</xdr:row>
          <xdr:rowOff>66675</xdr:rowOff>
        </xdr:from>
        <xdr:to>
          <xdr:col>9</xdr:col>
          <xdr:colOff>28575</xdr:colOff>
          <xdr:row>13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13</xdr:row>
          <xdr:rowOff>76200</xdr:rowOff>
        </xdr:from>
        <xdr:to>
          <xdr:col>8</xdr:col>
          <xdr:colOff>390525</xdr:colOff>
          <xdr:row>15</xdr:row>
          <xdr:rowOff>161925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8211" name="XPPlus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30</xdr:row>
          <xdr:rowOff>95250</xdr:rowOff>
        </xdr:from>
        <xdr:to>
          <xdr:col>14</xdr:col>
          <xdr:colOff>47625</xdr:colOff>
          <xdr:row>31</xdr:row>
          <xdr:rowOff>285750</xdr:rowOff>
        </xdr:to>
        <xdr:sp macro="" textlink="">
          <xdr:nvSpPr>
            <xdr:cNvPr id="8212" name="CommandButton1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gan/Documents/stupid%20ideas/Open%20Legend%20RPG_files/Fantasy%20Battle%20Character%20Sheets/Fantasy%20Battle%20-%20character%20sheet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gilityIncrease"/>
      <definedName name="AlterationIncrease"/>
      <definedName name="CreationIncrease"/>
      <definedName name="DeceptionIncrease"/>
      <definedName name="EnergyIncrease"/>
      <definedName name="EntropyIncrease"/>
      <definedName name="FortitudeIncrease"/>
      <definedName name="InfluenceIncrease"/>
      <definedName name="LearnIncrease"/>
      <definedName name="LogicIncrease"/>
      <definedName name="MightIncrease"/>
      <definedName name="MovementIncrease"/>
      <definedName name="PerceptionIncrease"/>
      <definedName name="PersuationIncrease"/>
      <definedName name="PrescienceIncrease"/>
      <definedName name="PresenceIncrease"/>
      <definedName name="ProtectionIncrease"/>
      <definedName name="WillIncrease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Table1" displayName="Table1" ref="B3:E11" headerRowCellStyle="60% - Accent2">
  <autoFilter ref="B3:E11"/>
  <sortState ref="B4:G12">
    <sortCondition descending="1" ref="G3:G12"/>
  </sortState>
  <tableColumns count="4">
    <tableColumn id="1" name="Name" totalsRowLabel="Total"/>
    <tableColumn id="2" name="cur HP"/>
    <tableColumn id="3" name="max HP" totalsRowFunction="count"/>
    <tableColumn id="5" name="Iniciative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id="3" name="BuffTable" displayName="BuffTable" ref="N3:P6" totalsRowShown="0" headerRowCellStyle="60% - Accent6">
  <autoFilter ref="N3:P6"/>
  <tableColumns count="3">
    <tableColumn id="1" name="Character"/>
    <tableColumn id="2" name="Buff/Debuf"/>
    <tableColumn id="3" name="Duration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id="11" name="Table11" displayName="Table11" ref="K4:L13" headerRowCount="0" totalsRowShown="0" headerRowDxfId="47" dataDxfId="46">
  <tableColumns count="2">
    <tableColumn id="1" name="Column1" dataDxfId="45"/>
    <tableColumn id="2" name="Column2" dataDxfId="44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id="8" name="Table5" displayName="Table5" ref="H33:K35" headerRowCount="0" totalsRowShown="0" headerRowDxfId="19" dataDxfId="18">
  <tableColumns count="4">
    <tableColumn id="1" name="Column1" dataDxfId="17"/>
    <tableColumn id="2" name="Column2" dataDxfId="16"/>
    <tableColumn id="3" name="Column3" dataDxfId="15"/>
    <tableColumn id="4" name="Column4" headerRowDxfId="14" dataDxfId="13"/>
  </tableColumns>
  <tableStyleInfo name="TableStyleDark8" showFirstColumn="0" showLastColumn="0" showRowStripes="1" showColumnStripes="0"/>
</table>
</file>

<file path=xl/tables/table5.xml><?xml version="1.0" encoding="utf-8"?>
<table xmlns="http://schemas.openxmlformats.org/spreadsheetml/2006/main" id="9" name="Table110" displayName="Table110" ref="P5:R7" headerRowCount="0" totalsRowShown="0">
  <tableColumns count="3">
    <tableColumn id="1" name="Column1" dataDxfId="12"/>
    <tableColumn id="2" name="Column2" dataDxfId="11"/>
    <tableColumn id="3" name="Column3" dataDxfId="10"/>
  </tableColumns>
  <tableStyleInfo name="TableStyleLight7" showFirstColumn="0" showLastColumn="0" showRowStripes="1" showColumnStripes="0"/>
</table>
</file>

<file path=xl/tables/table6.xml><?xml version="1.0" encoding="utf-8"?>
<table xmlns="http://schemas.openxmlformats.org/spreadsheetml/2006/main" id="12" name="Table73" displayName="Table73" ref="P33:U36" headerRowCount="0" totalsRowShown="0" headerRowDxfId="9" dataDxfId="8">
  <tableColumns count="6">
    <tableColumn id="1" name="Column1" dataDxfId="7"/>
    <tableColumn id="2" name="Column2" dataDxfId="6"/>
    <tableColumn id="3" name="Column3" dataDxfId="5"/>
    <tableColumn id="4" name="Column4" dataDxfId="4"/>
    <tableColumn id="5" name="Column5" headerRowDxfId="3" dataDxfId="2"/>
    <tableColumn id="6" name="Column6" headerRowDxfId="1" dataDxfId="0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6" name="Table57" displayName="Table57" ref="L3:O6" headerRowCount="0" totalsRowShown="0">
  <tableColumns count="4">
    <tableColumn id="1" name="Column1" dataDxfId="43"/>
    <tableColumn id="2" name="Column2" dataDxfId="42"/>
    <tableColumn id="3" name="Column3" dataDxfId="41"/>
    <tableColumn id="4" name="Column4" dataDxfId="40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id="10" name="Table578911" displayName="Table578911" ref="L3:O3" headerRowCount="0" totalsRowShown="0">
  <tableColumns count="4">
    <tableColumn id="1" name="Column1" dataDxfId="39"/>
    <tableColumn id="2" name="Column2" dataDxfId="38"/>
    <tableColumn id="3" name="Column3" dataDxfId="37"/>
    <tableColumn id="4" name="Column4" dataDxfId="36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id="7" name="Table578" displayName="Table578" ref="L3:O5" headerRowCount="0" totalsRowShown="0">
  <tableColumns count="4">
    <tableColumn id="1" name="Column1" dataDxfId="35"/>
    <tableColumn id="2" name="Column2" dataDxfId="34"/>
    <tableColumn id="3" name="Column3" dataDxfId="33"/>
    <tableColumn id="4" name="Column4" dataDxfId="32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id="5" name="Table576" displayName="Table576" ref="L3:O6" headerRowCount="0" totalsRowShown="0">
  <tableColumns count="4">
    <tableColumn id="1" name="Column1" dataDxfId="31"/>
    <tableColumn id="2" name="Column2" dataDxfId="30"/>
    <tableColumn id="3" name="Column3" dataDxfId="29"/>
    <tableColumn id="4" name="Column4" dataDxfId="28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id="4" name="Table575" displayName="Table575" ref="L3:O6" headerRowCount="0" totalsRowShown="0">
  <tableColumns count="4">
    <tableColumn id="1" name="Column1" dataDxfId="27"/>
    <tableColumn id="2" name="Column2" dataDxfId="26"/>
    <tableColumn id="3" name="Column3" dataDxfId="25"/>
    <tableColumn id="4" name="Column4" dataDxfId="24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id="2" name="Table573" displayName="Table573" ref="L3:O6" headerRowCount="0" totalsRowShown="0">
  <tableColumns count="4">
    <tableColumn id="1" name="Column1" dataDxfId="23"/>
    <tableColumn id="2" name="Column2" dataDxfId="22"/>
    <tableColumn id="3" name="Column3" dataDxfId="21"/>
    <tableColumn id="4" name="Column4" dataDxfId="20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3.xml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table" Target="../tables/table6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21"/>
  <sheetViews>
    <sheetView showGridLines="0" zoomScale="115" zoomScaleNormal="115" workbookViewId="0">
      <selection activeCell="U6" sqref="U6"/>
    </sheetView>
  </sheetViews>
  <sheetFormatPr defaultRowHeight="15" x14ac:dyDescent="0.25"/>
  <cols>
    <col min="1" max="1" width="1.7109375" customWidth="1"/>
    <col min="2" max="2" width="19.28515625" customWidth="1"/>
    <col min="3" max="3" width="8.5703125" customWidth="1"/>
    <col min="4" max="4" width="9.5703125" customWidth="1"/>
    <col min="5" max="5" width="11.42578125" bestFit="1" customWidth="1"/>
    <col min="6" max="6" width="1.140625" customWidth="1"/>
    <col min="7" max="7" width="6.42578125" customWidth="1"/>
    <col min="8" max="8" width="8" customWidth="1"/>
    <col min="9" max="9" width="6.140625" customWidth="1"/>
    <col min="10" max="10" width="2" customWidth="1"/>
    <col min="11" max="11" width="9.140625" bestFit="1" customWidth="1"/>
    <col min="12" max="12" width="5.5703125" bestFit="1" customWidth="1"/>
    <col min="13" max="13" width="1.7109375" customWidth="1"/>
    <col min="14" max="14" width="11.7109375" bestFit="1" customWidth="1"/>
    <col min="15" max="15" width="13.28515625" bestFit="1" customWidth="1"/>
    <col min="16" max="16" width="11" bestFit="1" customWidth="1"/>
    <col min="17" max="17" width="9.28515625" customWidth="1"/>
    <col min="18" max="19" width="9.140625" customWidth="1"/>
    <col min="21" max="21" width="10.5703125" customWidth="1"/>
    <col min="22" max="22" width="9.140625" customWidth="1"/>
  </cols>
  <sheetData>
    <row r="1" spans="2:19" ht="9" customHeight="1" thickBot="1" x14ac:dyDescent="0.3"/>
    <row r="2" spans="2:19" x14ac:dyDescent="0.25">
      <c r="B2" s="62" t="s">
        <v>0</v>
      </c>
      <c r="C2" s="62"/>
      <c r="D2" s="62"/>
      <c r="E2" s="62"/>
      <c r="G2" s="63">
        <v>12</v>
      </c>
      <c r="H2" s="64"/>
      <c r="I2" s="65"/>
      <c r="K2" s="61" t="s">
        <v>4</v>
      </c>
      <c r="L2" s="61"/>
      <c r="N2" s="72" t="s">
        <v>20</v>
      </c>
      <c r="O2" s="72"/>
      <c r="P2" s="72"/>
      <c r="R2" s="73" t="s">
        <v>102</v>
      </c>
      <c r="S2" s="74"/>
    </row>
    <row r="3" spans="2:19" ht="15" customHeight="1" x14ac:dyDescent="0.25">
      <c r="B3" s="1" t="s">
        <v>1</v>
      </c>
      <c r="C3" s="1" t="s">
        <v>2</v>
      </c>
      <c r="D3" s="1" t="s">
        <v>3</v>
      </c>
      <c r="E3" s="1" t="s">
        <v>101</v>
      </c>
      <c r="G3" s="66"/>
      <c r="H3" s="67"/>
      <c r="I3" s="68"/>
      <c r="K3" s="45" t="s">
        <v>7</v>
      </c>
      <c r="L3" s="45" t="s">
        <v>6</v>
      </c>
      <c r="N3" s="3" t="s">
        <v>18</v>
      </c>
      <c r="O3" s="3" t="s">
        <v>19</v>
      </c>
      <c r="P3" s="3" t="s">
        <v>21</v>
      </c>
      <c r="R3" s="59" t="s">
        <v>103</v>
      </c>
      <c r="S3" s="60" t="s">
        <v>104</v>
      </c>
    </row>
    <row r="4" spans="2:19" ht="15" customHeight="1" x14ac:dyDescent="0.25">
      <c r="G4" s="66"/>
      <c r="H4" s="67"/>
      <c r="I4" s="68"/>
      <c r="K4" s="42">
        <v>1</v>
      </c>
      <c r="L4" s="42" t="s">
        <v>8</v>
      </c>
      <c r="O4" s="51"/>
      <c r="R4" s="75"/>
      <c r="S4" s="76"/>
    </row>
    <row r="5" spans="2:19" ht="15" customHeight="1" x14ac:dyDescent="0.25">
      <c r="G5" s="66"/>
      <c r="H5" s="67"/>
      <c r="I5" s="68"/>
      <c r="K5" s="42">
        <v>2</v>
      </c>
      <c r="L5" s="42" t="s">
        <v>9</v>
      </c>
      <c r="R5" s="75"/>
      <c r="S5" s="76"/>
    </row>
    <row r="6" spans="2:19" ht="15" customHeight="1" x14ac:dyDescent="0.25">
      <c r="G6" s="66"/>
      <c r="H6" s="67"/>
      <c r="I6" s="68"/>
      <c r="K6" s="42">
        <v>3</v>
      </c>
      <c r="L6" s="42" t="s">
        <v>10</v>
      </c>
      <c r="R6" s="59" t="s">
        <v>106</v>
      </c>
      <c r="S6" s="60" t="s">
        <v>105</v>
      </c>
    </row>
    <row r="7" spans="2:19" ht="15" customHeight="1" thickBot="1" x14ac:dyDescent="0.3">
      <c r="G7" s="69"/>
      <c r="H7" s="70"/>
      <c r="I7" s="71"/>
      <c r="K7" s="42">
        <v>4</v>
      </c>
      <c r="L7" s="42" t="s">
        <v>11</v>
      </c>
      <c r="R7" s="75"/>
      <c r="S7" s="76"/>
    </row>
    <row r="8" spans="2:19" ht="15" customHeight="1" thickBot="1" x14ac:dyDescent="0.3">
      <c r="K8" s="42">
        <v>5</v>
      </c>
      <c r="L8" s="42" t="s">
        <v>12</v>
      </c>
      <c r="R8" s="77"/>
      <c r="S8" s="78"/>
    </row>
    <row r="9" spans="2:19" ht="15" customHeight="1" x14ac:dyDescent="0.25">
      <c r="K9" s="42">
        <v>6</v>
      </c>
      <c r="L9" s="42" t="s">
        <v>13</v>
      </c>
    </row>
    <row r="10" spans="2:19" ht="15" customHeight="1" x14ac:dyDescent="0.25">
      <c r="K10" s="42">
        <v>7</v>
      </c>
      <c r="L10" s="42" t="s">
        <v>14</v>
      </c>
    </row>
    <row r="11" spans="2:19" x14ac:dyDescent="0.25">
      <c r="K11" s="42">
        <v>8</v>
      </c>
      <c r="L11" s="42" t="s">
        <v>15</v>
      </c>
    </row>
    <row r="12" spans="2:19" x14ac:dyDescent="0.25">
      <c r="K12" s="42">
        <v>9</v>
      </c>
      <c r="L12" s="42" t="s">
        <v>16</v>
      </c>
    </row>
    <row r="13" spans="2:19" x14ac:dyDescent="0.25">
      <c r="K13" s="57">
        <v>10</v>
      </c>
      <c r="L13" s="57" t="s">
        <v>17</v>
      </c>
    </row>
    <row r="14" spans="2:19" ht="15" customHeight="1" x14ac:dyDescent="0.25">
      <c r="G14" s="2"/>
    </row>
    <row r="15" spans="2:19" ht="15" customHeight="1" x14ac:dyDescent="0.25"/>
    <row r="16" spans="2:19" ht="15" customHeight="1" x14ac:dyDescent="0.25"/>
    <row r="17" spans="2:2" ht="15" customHeight="1" x14ac:dyDescent="0.25"/>
    <row r="18" spans="2:2" ht="15" customHeight="1" x14ac:dyDescent="0.25"/>
    <row r="19" spans="2:2" ht="15" customHeight="1" x14ac:dyDescent="0.25"/>
    <row r="20" spans="2:2" ht="15" customHeight="1" x14ac:dyDescent="0.25">
      <c r="B20" s="2"/>
    </row>
    <row r="21" spans="2:2" ht="15" customHeight="1" x14ac:dyDescent="0.25">
      <c r="B21" s="2"/>
    </row>
  </sheetData>
  <mergeCells count="9">
    <mergeCell ref="K2:L2"/>
    <mergeCell ref="B2:E2"/>
    <mergeCell ref="G2:I7"/>
    <mergeCell ref="N2:P2"/>
    <mergeCell ref="R2:S2"/>
    <mergeCell ref="R4:R5"/>
    <mergeCell ref="S4:S5"/>
    <mergeCell ref="R7:R8"/>
    <mergeCell ref="S7:S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 sizeWithCells="1">
              <from>
                <xdr:col>5</xdr:col>
                <xdr:colOff>409575</xdr:colOff>
                <xdr:row>7</xdr:row>
                <xdr:rowOff>66675</xdr:rowOff>
              </from>
              <to>
                <xdr:col>9</xdr:col>
                <xdr:colOff>28575</xdr:colOff>
                <xdr:row>13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6</xdr:col>
                <xdr:colOff>28575</xdr:colOff>
                <xdr:row>13</xdr:row>
                <xdr:rowOff>76200</xdr:rowOff>
              </from>
              <to>
                <xdr:col>8</xdr:col>
                <xdr:colOff>390525</xdr:colOff>
                <xdr:row>15</xdr:row>
                <xdr:rowOff>161925</xdr:rowOff>
              </to>
            </anchor>
          </controlPr>
        </control>
      </mc:Choice>
      <mc:Fallback>
        <control shapeId="1027" r:id="rId6" name="CommandButton2"/>
      </mc:Fallback>
    </mc:AlternateContent>
  </controls>
  <tableParts count="3"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U39"/>
  <sheetViews>
    <sheetView showGridLines="0" zoomScale="85" zoomScaleNormal="85" workbookViewId="0">
      <selection activeCell="T30" sqref="T30"/>
    </sheetView>
  </sheetViews>
  <sheetFormatPr defaultRowHeight="15" x14ac:dyDescent="0.25"/>
  <cols>
    <col min="2" max="2" width="11.5703125" customWidth="1"/>
    <col min="3" max="3" width="5.71093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2" customWidth="1"/>
    <col min="9" max="9" width="62.42578125" customWidth="1"/>
    <col min="10" max="10" width="11.28515625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0.42578125" customWidth="1"/>
    <col min="17" max="17" width="15.7109375" customWidth="1"/>
    <col min="18" max="18" width="47.28515625" customWidth="1"/>
    <col min="19" max="19" width="12.140625" customWidth="1"/>
    <col min="20" max="21" width="9" customWidth="1"/>
    <col min="22" max="22" width="9.140625" customWidth="1"/>
  </cols>
  <sheetData>
    <row r="1" spans="1:21" ht="15.75" thickBot="1" x14ac:dyDescent="0.3"/>
    <row r="2" spans="1:21" ht="15" customHeight="1" thickTop="1" thickBot="1" x14ac:dyDescent="0.3">
      <c r="A2" s="156"/>
      <c r="B2" s="91" t="str">
        <f>IF(L24 = 0,"Attributes","Atributos")</f>
        <v>Attributes</v>
      </c>
      <c r="C2" s="92"/>
      <c r="D2" s="92"/>
      <c r="E2" s="92"/>
      <c r="F2" s="93"/>
      <c r="H2" s="157" t="str">
        <f>IF(L24 = 0, "Name:", "Nome:")</f>
        <v>Name:</v>
      </c>
      <c r="I2" s="158"/>
      <c r="K2" s="159" t="s">
        <v>107</v>
      </c>
      <c r="L2" s="160">
        <v>0</v>
      </c>
      <c r="M2" s="160"/>
      <c r="N2" s="161"/>
      <c r="P2" s="162" t="str">
        <f>IF(L24=0,"Inventory", "Inventário")</f>
        <v>Inventory</v>
      </c>
      <c r="Q2" s="162"/>
      <c r="R2" s="162"/>
      <c r="T2" s="163" t="str">
        <f>IF(L24=0, "Movement", "Movimento")</f>
        <v>Movement</v>
      </c>
      <c r="U2" s="164"/>
    </row>
    <row r="3" spans="1:21" ht="15.75" customHeight="1" thickBot="1" x14ac:dyDescent="0.3">
      <c r="A3" s="156"/>
      <c r="B3" s="29" t="str">
        <f>IF(L24 = 0,"Name","Nome")</f>
        <v>Name</v>
      </c>
      <c r="C3" s="28" t="str">
        <f>IF(L24 = 0,"Cost","Custo")</f>
        <v>Cost</v>
      </c>
      <c r="D3" s="28" t="str">
        <f>IF(L24 = 0,"Score","Valor")</f>
        <v>Score</v>
      </c>
      <c r="E3" s="28" t="str">
        <f>IF(L24=0, "Bonus", "Bonus")</f>
        <v>Bonus</v>
      </c>
      <c r="F3" s="27" t="str">
        <f>IF(L24 = 0,"Dice","Dado")</f>
        <v>Dice</v>
      </c>
      <c r="H3" s="165"/>
      <c r="K3" s="166"/>
      <c r="L3" s="167"/>
      <c r="M3" s="167"/>
      <c r="N3" s="168"/>
      <c r="O3" s="169"/>
      <c r="P3" s="162"/>
      <c r="Q3" s="162"/>
      <c r="R3" s="162"/>
      <c r="T3" s="170" t="str">
        <f>IF(L24=0, "Normal", "Normal")</f>
        <v>Normal</v>
      </c>
      <c r="U3" s="171">
        <f>IF(L29 &gt; 7, 7, IF(L29 &lt; 4, 5, 6))</f>
        <v>6</v>
      </c>
    </row>
    <row r="4" spans="1:21" ht="15" customHeight="1" thickBot="1" x14ac:dyDescent="0.3">
      <c r="A4" s="156"/>
      <c r="B4" s="111" t="str">
        <f>IF(L24 = 0,"Physical","Físicos")</f>
        <v>Physical</v>
      </c>
      <c r="C4" s="112"/>
      <c r="D4" s="112"/>
      <c r="E4" s="112"/>
      <c r="F4" s="113"/>
      <c r="K4" s="159" t="s">
        <v>108</v>
      </c>
      <c r="L4" s="160">
        <v>1</v>
      </c>
      <c r="M4" s="160"/>
      <c r="N4" s="161"/>
      <c r="P4" s="172" t="s">
        <v>109</v>
      </c>
      <c r="Q4" s="172" t="str">
        <f>IF(L24 = 0, "Item", "Item")</f>
        <v>Item</v>
      </c>
      <c r="R4" s="172" t="str">
        <f>IF(L24 = 0, "Description", "Descrição")</f>
        <v>Description</v>
      </c>
      <c r="T4" s="173" t="str">
        <f>IF(L24=0, "Difficult", "Difícil")</f>
        <v>Difficult</v>
      </c>
      <c r="U4" s="174">
        <f>IF(L29 &gt; 7, 3, IF(L29 &lt; 4, 5, 4))</f>
        <v>4</v>
      </c>
    </row>
    <row r="5" spans="1:21" ht="15.75" customHeight="1" thickBot="1" x14ac:dyDescent="0.3">
      <c r="A5" s="156"/>
      <c r="B5" s="175" t="str">
        <f>IF(L24 = 0,"Agility","Agilidade")</f>
        <v>Agility</v>
      </c>
      <c r="C5" s="23">
        <f>IFERROR(_xlfn.NUMBERVALUE(D5), 0) * (IFERROR(_xlfn.NUMBERVALUE(D5), 0) + 1) / 2</f>
        <v>0</v>
      </c>
      <c r="D5" s="23"/>
      <c r="E5" s="23"/>
      <c r="F5" s="26" t="str">
        <f t="shared" ref="F5:F7" si="0">IF(D5 + E5 &lt; 1,"1d2",IF(D5 + E5 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""))))))))))))))))))</f>
        <v>1d2</v>
      </c>
      <c r="K5" s="166"/>
      <c r="L5" s="167"/>
      <c r="M5" s="167"/>
      <c r="N5" s="168"/>
      <c r="P5" s="58"/>
      <c r="Q5" s="58"/>
      <c r="R5" s="176"/>
    </row>
    <row r="6" spans="1:21" ht="15" customHeight="1" thickBot="1" x14ac:dyDescent="0.3">
      <c r="A6" s="156"/>
      <c r="B6" s="177" t="str">
        <f>IF(L24 = 0,"Fortitude","Fortitude")</f>
        <v>Fortitude</v>
      </c>
      <c r="C6" s="25">
        <f t="shared" ref="C6:C7" si="1">IFERROR(_xlfn.NUMBERVALUE(D6), 0) * (IFERROR(_xlfn.NUMBERVALUE(D6), 0) + 1) / 2</f>
        <v>0</v>
      </c>
      <c r="D6" s="25"/>
      <c r="E6" s="25"/>
      <c r="F6" s="24" t="str">
        <f t="shared" si="0"/>
        <v>1d2</v>
      </c>
      <c r="L6" s="178"/>
      <c r="M6" s="178"/>
      <c r="N6" s="178"/>
      <c r="P6" s="58"/>
      <c r="Q6" s="58"/>
      <c r="R6" s="176"/>
      <c r="T6" s="179" t="s">
        <v>110</v>
      </c>
      <c r="U6" s="180">
        <f>8 + L14 + N14</f>
        <v>8</v>
      </c>
    </row>
    <row r="7" spans="1:21" ht="15" customHeight="1" thickBot="1" x14ac:dyDescent="0.3">
      <c r="A7" s="156"/>
      <c r="B7" s="181" t="str">
        <f>IF(L24 = 0,"Might","Força")</f>
        <v>Might</v>
      </c>
      <c r="C7" s="23">
        <f t="shared" si="1"/>
        <v>0</v>
      </c>
      <c r="D7" s="22"/>
      <c r="E7" s="22"/>
      <c r="F7" s="21" t="str">
        <f t="shared" si="0"/>
        <v>1d2</v>
      </c>
      <c r="K7" s="182" t="s">
        <v>22</v>
      </c>
      <c r="L7" s="183"/>
      <c r="M7" s="184" t="s">
        <v>23</v>
      </c>
      <c r="N7" s="185">
        <f>IF(8+2*(D6+E6)+2*(D16+E16)+D12+E12+_xlfn.FLOOR.MATH(1.5*(D7+E7))+2*L4&gt;0,8+2*(D6+E6)+2*(D16+E16)+D12+E12+_xlfn.FLOOR.MATH(1.5*(D7+E7))+2*L4,1)</f>
        <v>10</v>
      </c>
      <c r="P7" s="58"/>
      <c r="Q7" s="58"/>
      <c r="R7" s="176"/>
      <c r="T7" s="186"/>
      <c r="U7" s="187"/>
    </row>
    <row r="8" spans="1:21" ht="15" customHeight="1" thickBot="1" x14ac:dyDescent="0.3">
      <c r="A8" s="156"/>
      <c r="B8" s="126" t="str">
        <f>IF(L24 = 0,"Mental","Mentais")</f>
        <v>Mental</v>
      </c>
      <c r="C8" s="127"/>
      <c r="D8" s="127"/>
      <c r="E8" s="127"/>
      <c r="F8" s="128"/>
      <c r="K8" s="188"/>
      <c r="L8" s="189"/>
      <c r="M8" s="190"/>
      <c r="N8" s="191"/>
      <c r="P8" s="58"/>
      <c r="Q8" s="58"/>
      <c r="R8" s="176"/>
    </row>
    <row r="9" spans="1:21" ht="15.75" customHeight="1" x14ac:dyDescent="0.25">
      <c r="A9" s="156"/>
      <c r="B9" s="20" t="str">
        <f>IF(L24 = 0,"Learning","Aprendizado")</f>
        <v>Learning</v>
      </c>
      <c r="C9" s="19">
        <f t="shared" ref="C9:C12" si="2">IFERROR(_xlfn.NUMBERVALUE(D9), 0) * (IFERROR(_xlfn.NUMBERVALUE(D9), 0) + 1) / 2</f>
        <v>0</v>
      </c>
      <c r="D9" s="19"/>
      <c r="E9" s="19"/>
      <c r="F9" s="18" t="str">
        <f t="shared" ref="F9:F12" si="3">IF(D9 + E9 &lt; 1,"1d2",IF(D9 + E9 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""))))))))))))))))))</f>
        <v>1d2</v>
      </c>
      <c r="K9" s="192" t="s">
        <v>111</v>
      </c>
      <c r="L9" s="193"/>
      <c r="M9" s="194" t="s">
        <v>23</v>
      </c>
      <c r="N9" s="195">
        <f xml:space="preserve"> IF(10 + 3*(D9 + E9) + 2*(D12 + E12) + _xlfn.CEILING.MATH(1.5*MAX(D18+E18, D19+E19, D20+E20, D21+E21, D22+E22, D23+E23, D24+E24, D25+E25)) &gt; 0, 10 + 3*(D9 + E9) + 2*(D12 + E12) + _xlfn.CEILING.MATH(1.5*MAX(D18+E18, D19+E19, D20+E20, D21+E21, D22+E22, D23+E23, D24+E24, D25+E25)), 1)</f>
        <v>10</v>
      </c>
      <c r="P9" s="58"/>
      <c r="Q9" s="58"/>
      <c r="R9" s="176"/>
    </row>
    <row r="10" spans="1:21" ht="15" customHeight="1" thickBot="1" x14ac:dyDescent="0.3">
      <c r="A10" s="156"/>
      <c r="B10" s="196" t="str">
        <f>IF(L24 = 0,"Logic","Lógica")</f>
        <v>Logic</v>
      </c>
      <c r="C10" s="17">
        <f t="shared" si="2"/>
        <v>0</v>
      </c>
      <c r="D10" s="17"/>
      <c r="E10" s="17"/>
      <c r="F10" s="16" t="str">
        <f t="shared" si="3"/>
        <v>1d2</v>
      </c>
      <c r="K10" s="197"/>
      <c r="L10" s="198"/>
      <c r="M10" s="199"/>
      <c r="N10" s="200"/>
      <c r="P10" s="58"/>
      <c r="Q10" s="58"/>
      <c r="R10" s="176"/>
    </row>
    <row r="11" spans="1:21" ht="15" customHeight="1" thickBot="1" x14ac:dyDescent="0.3">
      <c r="A11" s="156"/>
      <c r="B11" s="20" t="str">
        <f>IF(L24 = 0,"Perception","Percepção")</f>
        <v>Perception</v>
      </c>
      <c r="C11" s="19">
        <f t="shared" si="2"/>
        <v>0</v>
      </c>
      <c r="D11" s="19"/>
      <c r="E11" s="19"/>
      <c r="F11" s="18" t="str">
        <f t="shared" si="3"/>
        <v>1d2</v>
      </c>
      <c r="P11" s="58"/>
      <c r="Q11" s="58"/>
      <c r="R11" s="176"/>
    </row>
    <row r="12" spans="1:21" ht="15" customHeight="1" thickBot="1" x14ac:dyDescent="0.3">
      <c r="A12" s="156"/>
      <c r="B12" s="196" t="str">
        <f>IF(L24 = 0,"Will","Vontade")</f>
        <v>Will</v>
      </c>
      <c r="C12" s="17">
        <f t="shared" si="2"/>
        <v>0</v>
      </c>
      <c r="D12" s="17"/>
      <c r="E12" s="17"/>
      <c r="F12" s="16" t="str">
        <f t="shared" si="3"/>
        <v>1d2</v>
      </c>
      <c r="K12" s="83" t="str">
        <f>IF(L24 = 0, "GUARD", "GUARD")</f>
        <v>GUARD</v>
      </c>
      <c r="L12" s="201">
        <f>IF(OR(1.5*(D7) &lt; D5, IFERROR(_xlfn.NUMBERVALUE(L29), 0) = 0), 0, _xlfn.FLOOR.MATH(1*(D7 + E7) + 0.75*(D6 + E6) + 0.5*(D25 + E25) + (L29-5)))</f>
        <v>0</v>
      </c>
      <c r="M12" s="201" t="str">
        <f>IF(N12 &gt; 0, "+", "")</f>
        <v/>
      </c>
      <c r="N12" s="85"/>
      <c r="P12" s="58"/>
      <c r="Q12" s="58"/>
      <c r="R12" s="176"/>
      <c r="S12" s="202"/>
      <c r="T12" s="202"/>
      <c r="U12" s="202"/>
    </row>
    <row r="13" spans="1:21" ht="15" customHeight="1" x14ac:dyDescent="0.25">
      <c r="A13" s="156"/>
      <c r="B13" s="129" t="str">
        <f>IF(L24 = 0,"Social","Sociais")</f>
        <v>Social</v>
      </c>
      <c r="C13" s="130"/>
      <c r="D13" s="130"/>
      <c r="E13" s="130"/>
      <c r="F13" s="131"/>
      <c r="K13" s="84"/>
      <c r="L13" s="203"/>
      <c r="M13" s="203"/>
      <c r="N13" s="86"/>
      <c r="P13" s="58"/>
      <c r="Q13" s="58"/>
      <c r="R13" s="176"/>
      <c r="U13" s="202"/>
    </row>
    <row r="14" spans="1:21" ht="15" customHeight="1" x14ac:dyDescent="0.25">
      <c r="A14" s="156"/>
      <c r="B14" s="204" t="str">
        <f>IF(L24 = 0,"Deception","Enganação")</f>
        <v>Deception</v>
      </c>
      <c r="C14" s="15">
        <f t="shared" ref="C14:C16" si="4">IFERROR(_xlfn.NUMBERVALUE(D14), 0) * (IFERROR(_xlfn.NUMBERVALUE(D14), 0) + 1) / 2</f>
        <v>0</v>
      </c>
      <c r="D14" s="15"/>
      <c r="E14" s="15"/>
      <c r="F14" s="14" t="str">
        <f t="shared" ref="F14" si="5">IF(D14 + E14 &lt; 1,"1d2",IF(D14 + E14 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""))))))))))))))))))</f>
        <v>1d2</v>
      </c>
      <c r="K14" s="87" t="str">
        <f>IF(L24 = 0, "DODGE", "EVASÃO")</f>
        <v>DODGE</v>
      </c>
      <c r="L14" s="205">
        <f>IF(AND(D7&gt;1.5*(D5), ROUND(0.75*(D5 + E5) + 0.5*(D11 + E11) - 0.5*(D7 + E7) - 0.5*(L29 - 5), 0) &gt; 0), 0, ROUND(0.75*(D5 + E5) + 0.5*(D11 + E11)  - 0.5*(D7 + E7) - 0.5*(L29 - 5), 0))</f>
        <v>0</v>
      </c>
      <c r="M14" s="205" t="str">
        <f>IF(N14 &gt; 0, "+", "")</f>
        <v/>
      </c>
      <c r="N14" s="89"/>
      <c r="P14" s="58"/>
      <c r="Q14" s="58"/>
      <c r="R14" s="176"/>
      <c r="U14" s="202"/>
    </row>
    <row r="15" spans="1:21" ht="15" customHeight="1" thickBot="1" x14ac:dyDescent="0.3">
      <c r="A15" s="156"/>
      <c r="B15" s="206" t="str">
        <f>IF(L24 = 0,"Persuation","Persuasão")</f>
        <v>Persuation</v>
      </c>
      <c r="C15" s="13">
        <f t="shared" si="4"/>
        <v>0</v>
      </c>
      <c r="D15" s="13"/>
      <c r="E15" s="13"/>
      <c r="F15" s="12" t="str">
        <f>IF(D15 + E15 &lt; 1,"1d2",IF(D15 + E15 = 1, "1d4", IF(D15 + E15 = 2, "1d6", IF(D15 + E15 = 3, "1d8", IF(D15 + E15 = 4, "1d10", IF(D15 + E15 = 5, "2d6", IF(D15 + E15 = 6, "2d8", IF(D15 + E15 = 7, "2d10", IF(D15 + E15 = 8, "3d8", IF(D15 + E15 = 9, "3d10", IF(D15 + E15 = 10, "4d8", IF(D15 + E15 = 11, "6d6",IF(D15 + E15 = 12, "7d6",IF(D15 + E15 = 13, "6d8",IF(D15 + E15 = 14, "12d4",IF(D15 + E15 = 15, "6d10",IF(D15 + E15 = 16, "8d8",IF(D15 + E15 = 17, "7d10", ""))))))))))))))))))</f>
        <v>1d2</v>
      </c>
      <c r="K15" s="88"/>
      <c r="L15" s="207"/>
      <c r="M15" s="207"/>
      <c r="N15" s="90"/>
      <c r="P15" s="58"/>
      <c r="Q15" s="58"/>
      <c r="R15" s="176"/>
      <c r="U15" s="202"/>
    </row>
    <row r="16" spans="1:21" ht="15" customHeight="1" thickBot="1" x14ac:dyDescent="0.3">
      <c r="A16" s="156"/>
      <c r="B16" s="208" t="str">
        <f>IF(L24 = 0,"Presence","Presença")</f>
        <v>Presence</v>
      </c>
      <c r="C16" s="11">
        <f t="shared" si="4"/>
        <v>0</v>
      </c>
      <c r="D16" s="11"/>
      <c r="E16" s="11"/>
      <c r="F16" s="10" t="str">
        <f t="shared" ref="F16" si="6">IF(D16 + E16 &lt; 1,"1d2",IF(D16 + E16 = 1, "1d4", IF(D16 + E16 = 2, "1d6", IF(D16 + E16 = 3, "1d8", IF(D16 + E16 = 4, "1d10", IF(D16 + E16 = 5, "2d6", IF(D16 + E16 = 6, "2d8", IF(D16 + E16 = 7, "2d10", IF(D16 + E16 = 8, "3d8", IF(D16 + E16 = 9, "3d10", IF(D16 + E16 = 10, "4d8", IF(D16 + E16 = 11, "6d6",IF(D16 + E16 = 12, "7d6",IF(D16 + E16 = 13, "6d8",IF(D16 + E16 = 14, "12d4",IF(D16 + E16 = 15, "6d10",IF(D16 + E16 = 16, "8d8",IF(D16 + E16 = 17, "7d10", ""))))))))))))))))))</f>
        <v>1d2</v>
      </c>
      <c r="P16" s="58"/>
      <c r="Q16" s="58"/>
      <c r="R16" s="176"/>
      <c r="U16" s="202"/>
    </row>
    <row r="17" spans="1:21" ht="15" customHeight="1" x14ac:dyDescent="0.25">
      <c r="A17" s="156"/>
      <c r="B17" s="132" t="str">
        <f>IF(L24 = 0,"Extraordinary","Extraordinários")</f>
        <v>Extraordinary</v>
      </c>
      <c r="C17" s="133"/>
      <c r="D17" s="133"/>
      <c r="E17" s="133"/>
      <c r="F17" s="134"/>
      <c r="K17" s="209" t="str">
        <f>IF(L24 = 0, "Skill Points", "Pontos de Habilidade")</f>
        <v>Skill Points</v>
      </c>
      <c r="L17" s="210"/>
      <c r="M17" s="210"/>
      <c r="N17" s="211">
        <v>4</v>
      </c>
      <c r="P17" s="58"/>
      <c r="Q17" s="58"/>
      <c r="R17" s="176"/>
      <c r="U17" s="202"/>
    </row>
    <row r="18" spans="1:21" x14ac:dyDescent="0.25">
      <c r="A18" s="156"/>
      <c r="B18" s="212" t="str">
        <f>IF(L24 = 0,"Alteration","Alteração")</f>
        <v>Alteration</v>
      </c>
      <c r="C18" s="7">
        <f t="shared" ref="C18:C25" si="7">IFERROR(_xlfn.NUMBERVALUE(D18), 0) * (IFERROR(_xlfn.NUMBERVALUE(D18), 0) + 1) / 2</f>
        <v>0</v>
      </c>
      <c r="D18" s="7"/>
      <c r="E18" s="7"/>
      <c r="F18" s="6" t="str">
        <f t="shared" ref="F18:F25" si="8">IF(D18 + E18 &lt; 1,"1d2",IF(D18 + E18 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""))))))))))))))))))</f>
        <v>1d2</v>
      </c>
      <c r="K18" s="213"/>
      <c r="L18" s="214"/>
      <c r="M18" s="214"/>
      <c r="N18" s="215"/>
      <c r="P18" s="58"/>
      <c r="Q18" s="58"/>
      <c r="R18" s="176"/>
      <c r="U18" s="202"/>
    </row>
    <row r="19" spans="1:21" x14ac:dyDescent="0.25">
      <c r="A19" s="156"/>
      <c r="B19" s="216" t="str">
        <f>IF(L24 = 0,"Creation","Criação")</f>
        <v>Creation</v>
      </c>
      <c r="C19" s="9">
        <f t="shared" si="7"/>
        <v>0</v>
      </c>
      <c r="D19" s="9"/>
      <c r="E19" s="9"/>
      <c r="F19" s="8" t="str">
        <f t="shared" si="8"/>
        <v>1d2</v>
      </c>
      <c r="K19" s="217" t="str">
        <f>IF(L24= 0, "Attribute Points", "Pontos de Atributo")</f>
        <v>Attribute Points</v>
      </c>
      <c r="L19" s="218"/>
      <c r="M19" s="218"/>
      <c r="N19" s="219">
        <v>40</v>
      </c>
      <c r="P19" s="58"/>
      <c r="Q19" s="58"/>
      <c r="R19" s="176"/>
      <c r="U19" s="202"/>
    </row>
    <row r="20" spans="1:21" x14ac:dyDescent="0.25">
      <c r="A20" s="156"/>
      <c r="B20" s="212" t="str">
        <f>IF(L24 = 0,"Energy","Energia")</f>
        <v>Energy</v>
      </c>
      <c r="C20" s="7">
        <f t="shared" si="7"/>
        <v>0</v>
      </c>
      <c r="D20" s="7"/>
      <c r="E20" s="7"/>
      <c r="F20" s="6" t="str">
        <f t="shared" si="8"/>
        <v>1d2</v>
      </c>
      <c r="K20" s="220"/>
      <c r="L20" s="221"/>
      <c r="M20" s="221"/>
      <c r="N20" s="222"/>
      <c r="P20" s="58"/>
      <c r="Q20" s="58"/>
      <c r="R20" s="176"/>
      <c r="U20" s="202"/>
    </row>
    <row r="21" spans="1:21" x14ac:dyDescent="0.25">
      <c r="A21" s="156"/>
      <c r="B21" s="216" t="str">
        <f>IF(L24 = 0,"Entropy","Entropia")</f>
        <v>Entropy</v>
      </c>
      <c r="C21" s="9">
        <f t="shared" si="7"/>
        <v>0</v>
      </c>
      <c r="D21" s="9"/>
      <c r="E21" s="9"/>
      <c r="F21" s="8" t="str">
        <f t="shared" si="8"/>
        <v>1d2</v>
      </c>
      <c r="K21" s="223" t="str">
        <f>IF(L24 = 0, "Feat Points", "Pontos de Perícia")</f>
        <v>Feat Points</v>
      </c>
      <c r="L21" s="224"/>
      <c r="M21" s="224"/>
      <c r="N21" s="225">
        <v>6</v>
      </c>
      <c r="P21" s="58"/>
      <c r="Q21" s="58"/>
      <c r="R21" s="176"/>
      <c r="U21" s="202"/>
    </row>
    <row r="22" spans="1:21" ht="15" customHeight="1" thickBot="1" x14ac:dyDescent="0.3">
      <c r="A22" s="156"/>
      <c r="B22" s="212" t="str">
        <f>IF(L24 = 0,"Influcence","Influência")</f>
        <v>Influcence</v>
      </c>
      <c r="C22" s="7">
        <f t="shared" si="7"/>
        <v>0</v>
      </c>
      <c r="D22" s="7"/>
      <c r="E22" s="7"/>
      <c r="F22" s="6" t="str">
        <f t="shared" si="8"/>
        <v>1d2</v>
      </c>
      <c r="K22" s="226"/>
      <c r="L22" s="227"/>
      <c r="M22" s="227"/>
      <c r="N22" s="228"/>
      <c r="P22" s="58"/>
      <c r="Q22" s="58"/>
      <c r="R22" s="176"/>
      <c r="U22" s="202"/>
    </row>
    <row r="23" spans="1:21" ht="15" customHeight="1" thickBot="1" x14ac:dyDescent="0.3">
      <c r="A23" s="156"/>
      <c r="B23" s="216" t="str">
        <f>IF(L24 = 0,"Movement","Movimento")</f>
        <v>Movement</v>
      </c>
      <c r="C23" s="9">
        <f t="shared" si="7"/>
        <v>0</v>
      </c>
      <c r="D23" s="9"/>
      <c r="E23" s="9"/>
      <c r="F23" s="8" t="str">
        <f t="shared" si="8"/>
        <v>1d2</v>
      </c>
      <c r="P23" s="58"/>
      <c r="Q23" s="58"/>
      <c r="R23" s="176"/>
      <c r="S23" s="202"/>
      <c r="T23" s="202"/>
      <c r="U23" s="202"/>
    </row>
    <row r="24" spans="1:21" ht="15" customHeight="1" x14ac:dyDescent="0.25">
      <c r="A24" s="156"/>
      <c r="B24" s="212" t="str">
        <f>IF(L24 = 0,"Prescience","Preciência")</f>
        <v>Prescience</v>
      </c>
      <c r="C24" s="7">
        <f t="shared" si="7"/>
        <v>0</v>
      </c>
      <c r="D24" s="7"/>
      <c r="E24" s="7"/>
      <c r="F24" s="6" t="str">
        <f t="shared" si="8"/>
        <v>1d2</v>
      </c>
      <c r="K24" s="229" t="str">
        <f>IF(L24 = 0, "Language:", "Língua:")</f>
        <v>Language:</v>
      </c>
      <c r="L24" s="230">
        <v>0</v>
      </c>
      <c r="M24" s="230"/>
      <c r="N24" s="231"/>
      <c r="P24" s="58"/>
      <c r="Q24" s="58"/>
      <c r="R24" s="176"/>
    </row>
    <row r="25" spans="1:21" ht="15" customHeight="1" thickBot="1" x14ac:dyDescent="0.3">
      <c r="A25" s="156"/>
      <c r="B25" s="232" t="str">
        <f>IF(L24 = 0,"Protection","Proteção")</f>
        <v>Protection</v>
      </c>
      <c r="C25" s="5">
        <f t="shared" si="7"/>
        <v>0</v>
      </c>
      <c r="D25" s="5"/>
      <c r="E25" s="5"/>
      <c r="F25" s="4" t="str">
        <f t="shared" si="8"/>
        <v>1d2</v>
      </c>
      <c r="K25" s="233"/>
      <c r="L25" s="234"/>
      <c r="M25" s="234"/>
      <c r="N25" s="235"/>
      <c r="P25" s="58"/>
      <c r="Q25" s="58"/>
      <c r="R25" s="176"/>
    </row>
    <row r="26" spans="1:21" ht="16.5" thickTop="1" thickBot="1" x14ac:dyDescent="0.3">
      <c r="K26" s="236">
        <v>0</v>
      </c>
      <c r="L26" s="237" t="str">
        <f>IF(L24 = 0,"English","Inglês")</f>
        <v>English</v>
      </c>
      <c r="M26" s="237"/>
      <c r="N26" s="238"/>
      <c r="P26" s="58"/>
      <c r="Q26" s="58"/>
      <c r="R26" s="176"/>
    </row>
    <row r="27" spans="1:21" ht="15.75" thickBot="1" x14ac:dyDescent="0.3">
      <c r="B27" s="106" t="str">
        <f>IF(L24 = 0, "Defense Calculation", "Cálculo de Defesa")</f>
        <v>Defense Calculation</v>
      </c>
      <c r="C27" s="107"/>
      <c r="D27" s="107"/>
      <c r="E27" s="107"/>
      <c r="F27" s="108"/>
      <c r="K27" s="239">
        <v>1</v>
      </c>
      <c r="L27" s="240" t="str">
        <f>IF(L24 = 0,"Portuguese","Português")</f>
        <v>Portuguese</v>
      </c>
      <c r="M27" s="240"/>
      <c r="N27" s="241"/>
    </row>
    <row r="28" spans="1:21" ht="15.75" thickBot="1" x14ac:dyDescent="0.3">
      <c r="B28" s="242" t="str">
        <f>IF(L24 = 0, "Pre-Defense", "Antes da Defesa")</f>
        <v>Pre-Defense</v>
      </c>
      <c r="C28" s="243"/>
      <c r="D28" s="244" t="str">
        <f>IF(L24 = 0, "Post-Defense", "Pós-Defesa")</f>
        <v>Post-Defense</v>
      </c>
      <c r="E28" s="109"/>
      <c r="F28" s="110"/>
    </row>
    <row r="29" spans="1:21" ht="15.75" thickBot="1" x14ac:dyDescent="0.3">
      <c r="B29" s="245"/>
      <c r="C29" s="246"/>
      <c r="D29" s="246" t="str">
        <f>IF(B29 = "", "", IF(L14+N14 &lt; 0, B29 - (L12+N12), IF(ROUNDUP(B29 * 15/(L14+N14+15) - (L12+N12), 0) &gt;= 0, ROUNDUP(B29 * 15/(L14+N14+15) - (L12+N12), 0), 0)))</f>
        <v/>
      </c>
      <c r="E29" s="246"/>
      <c r="F29" s="247"/>
      <c r="K29" s="248" t="str">
        <f>IF(L24 = 0, "Size:", "Tamanho:")</f>
        <v>Size:</v>
      </c>
      <c r="L29" s="249">
        <v>5</v>
      </c>
      <c r="M29" s="250"/>
      <c r="N29" s="251"/>
    </row>
    <row r="30" spans="1:21" ht="15.75" customHeight="1" thickBot="1" x14ac:dyDescent="0.3">
      <c r="B30" s="101"/>
      <c r="C30" s="104"/>
      <c r="D30" s="104"/>
      <c r="E30" s="104"/>
      <c r="F30" s="105"/>
    </row>
    <row r="31" spans="1:21" ht="19.5" thickBot="1" x14ac:dyDescent="0.3">
      <c r="P31" s="252" t="s">
        <v>112</v>
      </c>
      <c r="Q31" s="252"/>
      <c r="R31" s="252"/>
      <c r="S31" s="252"/>
      <c r="T31" s="252"/>
      <c r="U31" s="252"/>
    </row>
    <row r="32" spans="1:21" ht="34.5" thickBot="1" x14ac:dyDescent="0.3">
      <c r="B32" s="253" t="s">
        <v>113</v>
      </c>
      <c r="C32" s="254"/>
      <c r="D32" s="254"/>
      <c r="E32" s="255" t="s">
        <v>23</v>
      </c>
      <c r="F32" s="256">
        <f xml:space="preserve"> 8 + 3*(D6+E6) + 2*(D5+E5) + D7+E7 + 2*L4</f>
        <v>10</v>
      </c>
      <c r="H32" s="257" t="str">
        <f>IF(L24 = 0, "Skill / Perk / Feat", "Habilidade / Perícia")</f>
        <v>Skill / Perk / Feat</v>
      </c>
      <c r="I32" s="258" t="str">
        <f>IF(L24 = 0, "Description", "Descrição")</f>
        <v>Description</v>
      </c>
      <c r="J32" s="258" t="str">
        <f>IF(L24 = 0, "Attribute", "Atributo")</f>
        <v>Attribute</v>
      </c>
      <c r="K32" s="258" t="str">
        <f>IF(L24 = 0, "Cost", "Custo")</f>
        <v>Cost</v>
      </c>
      <c r="P32" s="259" t="str">
        <f>IF(L24=0,"Name","Nome")</f>
        <v>Name</v>
      </c>
      <c r="Q32" s="259" t="s">
        <v>114</v>
      </c>
      <c r="R32" s="259" t="str">
        <f>IF(L24=0,"Effect","Efeito")</f>
        <v>Effect</v>
      </c>
      <c r="S32" s="259" t="str">
        <f>IF(L24=0,"Defense","Defesa")</f>
        <v>Defense</v>
      </c>
      <c r="T32" s="260" t="s">
        <v>115</v>
      </c>
      <c r="U32" s="260" t="s">
        <v>21</v>
      </c>
    </row>
    <row r="33" spans="2:21" ht="15.75" thickBot="1" x14ac:dyDescent="0.3">
      <c r="H33" s="58"/>
      <c r="I33" s="48"/>
      <c r="J33" s="58"/>
      <c r="K33" s="58"/>
      <c r="P33" s="58"/>
      <c r="Q33" s="58"/>
      <c r="R33" s="261"/>
      <c r="S33" s="261"/>
      <c r="T33" s="262"/>
      <c r="U33" s="261"/>
    </row>
    <row r="34" spans="2:21" x14ac:dyDescent="0.25">
      <c r="B34" s="94" t="str">
        <f>IF(L24 = 0, "HP Dice", "Dado de HP")</f>
        <v>HP Dice</v>
      </c>
      <c r="C34" s="96"/>
      <c r="D34" s="96" t="str">
        <f>IF(L24 = 0,"Fortitude","Fortitude")</f>
        <v>Fortitude</v>
      </c>
      <c r="E34" s="96"/>
      <c r="F34" s="98"/>
      <c r="H34" s="58"/>
      <c r="I34" s="48"/>
      <c r="J34" s="58"/>
      <c r="K34" s="58"/>
      <c r="P34" s="261"/>
      <c r="Q34" s="58"/>
      <c r="R34" s="48"/>
      <c r="S34" s="261"/>
      <c r="T34" s="263"/>
      <c r="U34" s="261"/>
    </row>
    <row r="35" spans="2:21" ht="15.75" thickBot="1" x14ac:dyDescent="0.3">
      <c r="B35" s="264"/>
      <c r="C35" s="265"/>
      <c r="D35" s="265"/>
      <c r="E35" s="265"/>
      <c r="F35" s="266"/>
      <c r="H35" s="58"/>
      <c r="I35" s="48"/>
      <c r="J35" s="58"/>
      <c r="K35" s="58"/>
      <c r="P35" s="261"/>
      <c r="Q35" s="58"/>
      <c r="R35" s="48"/>
      <c r="S35" s="261"/>
      <c r="T35" s="58"/>
      <c r="U35" s="261"/>
    </row>
    <row r="36" spans="2:21" ht="15" customHeight="1" x14ac:dyDescent="0.25">
      <c r="B36" s="114" t="str">
        <f>IF(L24 = 0, "MP Dice", "Dado de MP")</f>
        <v>MP Dice</v>
      </c>
      <c r="C36" s="116"/>
      <c r="D36" s="116" t="str">
        <f t="shared" ref="D36:F37" si="9">IF(N51 = 0,"Learning","Aprendizado")</f>
        <v>Learning</v>
      </c>
      <c r="E36" s="116" t="str">
        <f t="shared" si="9"/>
        <v>Learning</v>
      </c>
      <c r="F36" s="118" t="str">
        <f t="shared" si="9"/>
        <v>Learning</v>
      </c>
      <c r="P36" s="261"/>
      <c r="Q36" s="58"/>
      <c r="R36" s="48"/>
      <c r="S36" s="261"/>
      <c r="T36" s="58"/>
      <c r="U36" s="261"/>
    </row>
    <row r="37" spans="2:21" ht="15.75" customHeight="1" thickBot="1" x14ac:dyDescent="0.3">
      <c r="B37" s="115"/>
      <c r="C37" s="117"/>
      <c r="D37" s="117" t="str">
        <f t="shared" si="9"/>
        <v>Learning</v>
      </c>
      <c r="E37" s="117" t="str">
        <f t="shared" si="9"/>
        <v>Learning</v>
      </c>
      <c r="F37" s="119" t="str">
        <f t="shared" si="9"/>
        <v>Learning</v>
      </c>
      <c r="P37" s="261"/>
      <c r="Q37" s="58"/>
      <c r="R37" s="48"/>
      <c r="S37" s="261"/>
      <c r="T37" s="58"/>
      <c r="U37" s="261"/>
    </row>
    <row r="39" spans="2:21" x14ac:dyDescent="0.25">
      <c r="H39" s="43"/>
      <c r="I39" s="43"/>
      <c r="J39" s="43"/>
    </row>
  </sheetData>
  <mergeCells count="51">
    <mergeCell ref="P31:U31"/>
    <mergeCell ref="C32:D32"/>
    <mergeCell ref="B34:C35"/>
    <mergeCell ref="D34:F35"/>
    <mergeCell ref="B36:C37"/>
    <mergeCell ref="D36:F37"/>
    <mergeCell ref="L26:N26"/>
    <mergeCell ref="B27:F27"/>
    <mergeCell ref="L27:N27"/>
    <mergeCell ref="B28:C28"/>
    <mergeCell ref="D28:F28"/>
    <mergeCell ref="B29:C30"/>
    <mergeCell ref="D29:F30"/>
    <mergeCell ref="L29:N29"/>
    <mergeCell ref="K19:M20"/>
    <mergeCell ref="N19:N20"/>
    <mergeCell ref="K21:M22"/>
    <mergeCell ref="N21:N22"/>
    <mergeCell ref="K24:K25"/>
    <mergeCell ref="L24:N25"/>
    <mergeCell ref="K14:K15"/>
    <mergeCell ref="L14:L15"/>
    <mergeCell ref="M14:M15"/>
    <mergeCell ref="N14:N15"/>
    <mergeCell ref="B17:F17"/>
    <mergeCell ref="K17:M18"/>
    <mergeCell ref="N17:N18"/>
    <mergeCell ref="B8:F8"/>
    <mergeCell ref="K9:K10"/>
    <mergeCell ref="L9:L10"/>
    <mergeCell ref="M9:M10"/>
    <mergeCell ref="N9:N10"/>
    <mergeCell ref="K12:K13"/>
    <mergeCell ref="L12:L13"/>
    <mergeCell ref="M12:M13"/>
    <mergeCell ref="N12:N13"/>
    <mergeCell ref="B13:F13"/>
    <mergeCell ref="T6:T7"/>
    <mergeCell ref="U6:U7"/>
    <mergeCell ref="K7:K8"/>
    <mergeCell ref="L7:L8"/>
    <mergeCell ref="M7:M8"/>
    <mergeCell ref="N7:N8"/>
    <mergeCell ref="B2:F2"/>
    <mergeCell ref="K2:K3"/>
    <mergeCell ref="L2:N3"/>
    <mergeCell ref="P2:R3"/>
    <mergeCell ref="T2:U2"/>
    <mergeCell ref="B4:F4"/>
    <mergeCell ref="K4:K5"/>
    <mergeCell ref="L4:N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2" r:id="rId4" name="CommandButton1">
          <controlPr defaultSize="0" autoLine="0" r:id="rId5">
            <anchor moveWithCells="1">
              <from>
                <xdr:col>11</xdr:col>
                <xdr:colOff>142875</xdr:colOff>
                <xdr:row>30</xdr:row>
                <xdr:rowOff>95250</xdr:rowOff>
              </from>
              <to>
                <xdr:col>14</xdr:col>
                <xdr:colOff>47625</xdr:colOff>
                <xdr:row>31</xdr:row>
                <xdr:rowOff>285750</xdr:rowOff>
              </to>
            </anchor>
          </controlPr>
        </control>
      </mc:Choice>
      <mc:Fallback>
        <control shapeId="8212" r:id="rId4" name="CommandButton1"/>
      </mc:Fallback>
    </mc:AlternateContent>
    <mc:AlternateContent xmlns:mc="http://schemas.openxmlformats.org/markup-compatibility/2006">
      <mc:Choice Requires="x14">
        <control shapeId="8211" r:id="rId6" name="XPPlus">
          <controlPr defaultSize="0" autoLine="0" r:id="rId7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8211" r:id="rId6" name="XPPlus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1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9" name="Button 2">
          <controlPr defaultSize="0" print="0" autoFill="0" autoPict="0" macro="[1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0" name="Button 3">
          <controlPr defaultSize="0" print="0" autoFill="0" autoPict="0" macro="[1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1" name="Button 4">
          <controlPr defaultSize="0" print="0" autoFill="0" autoPict="0" macro="[1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2" name="Button 5">
          <controlPr defaultSize="0" print="0" autoFill="0" autoPict="0" macro="[1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3" name="Button 6">
          <controlPr defaultSize="0" print="0" autoFill="0" autoPict="0" macro="[1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9" r:id="rId14" name="Button 7">
          <controlPr defaultSize="0" print="0" autoFill="0" autoPict="0" macro="[1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0" r:id="rId15" name="Button 8">
          <controlPr defaultSize="0" print="0" autoFill="0" autoPict="0" macro="[1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1" r:id="rId16" name="Button 9">
          <controlPr defaultSize="0" print="0" autoFill="0" autoPict="0" macro="[1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2" r:id="rId17" name="Button 10">
          <controlPr defaultSize="0" print="0" autoFill="0" autoPict="0" macro="[1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3" r:id="rId18" name="Button 11">
          <controlPr defaultSize="0" print="0" autoFill="0" autoPict="0" macro="[1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9" name="Button 12">
          <controlPr defaultSize="0" print="0" autoFill="0" autoPict="0" macro="[1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5" r:id="rId20" name="Button 13">
          <controlPr defaultSize="0" print="0" autoFill="0" autoPict="0" macro="[1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21" name="Button 14">
          <controlPr defaultSize="0" print="0" autoFill="0" autoPict="0" macro="[1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7" r:id="rId22" name="Button 15">
          <controlPr defaultSize="0" print="0" autoFill="0" autoPict="0" macro="[1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8" r:id="rId23" name="Button 16">
          <controlPr defaultSize="0" print="0" autoFill="0" autoPict="0" macro="[1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9" r:id="rId24" name="Button 17">
          <controlPr defaultSize="0" print="0" autoFill="0" autoPict="0" macro="[1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0" r:id="rId25" name="Button 18">
          <controlPr defaultSize="0" print="0" autoFill="0" autoPict="0" macro="[1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3">
    <tablePart r:id="rId26"/>
    <tablePart r:id="rId27"/>
    <tablePart r:id="rId2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27"/>
  <sheetViews>
    <sheetView showGridLines="0" tabSelected="1" workbookViewId="0">
      <selection activeCell="L22" sqref="L22"/>
    </sheetView>
  </sheetViews>
  <sheetFormatPr defaultRowHeight="15" x14ac:dyDescent="0.25"/>
  <cols>
    <col min="1" max="1" width="2" customWidth="1"/>
    <col min="2" max="2" width="10.7109375" bestFit="1" customWidth="1"/>
    <col min="6" max="6" width="3.140625" customWidth="1"/>
    <col min="7" max="7" width="18.140625" bestFit="1" customWidth="1"/>
    <col min="8" max="8" width="10.42578125" customWidth="1"/>
    <col min="9" max="9" width="2.42578125" customWidth="1"/>
    <col min="10" max="10" width="11" customWidth="1"/>
    <col min="12" max="12" width="19.85546875" bestFit="1" customWidth="1"/>
    <col min="13" max="13" width="44.42578125" customWidth="1"/>
    <col min="14" max="15" width="11" customWidth="1"/>
  </cols>
  <sheetData>
    <row r="1" spans="2:15" ht="10.5" customHeight="1" thickBot="1" x14ac:dyDescent="0.3"/>
    <row r="2" spans="2:15" ht="15.75" customHeight="1" thickTop="1" x14ac:dyDescent="0.3">
      <c r="B2" s="91" t="s">
        <v>34</v>
      </c>
      <c r="C2" s="92"/>
      <c r="D2" s="92"/>
      <c r="E2" s="93"/>
      <c r="G2" s="94" t="s">
        <v>22</v>
      </c>
      <c r="H2" s="96"/>
      <c r="I2" s="96" t="s">
        <v>23</v>
      </c>
      <c r="J2" s="98"/>
      <c r="L2" s="30" t="s">
        <v>29</v>
      </c>
      <c r="M2" s="30" t="s">
        <v>30</v>
      </c>
      <c r="N2" s="30" t="s">
        <v>7</v>
      </c>
      <c r="O2" s="50" t="s">
        <v>31</v>
      </c>
    </row>
    <row r="3" spans="2:15" ht="15.75" customHeight="1" thickBot="1" x14ac:dyDescent="0.3">
      <c r="B3" s="29" t="s">
        <v>1</v>
      </c>
      <c r="C3" s="28" t="s">
        <v>35</v>
      </c>
      <c r="D3" s="28" t="s">
        <v>36</v>
      </c>
      <c r="E3" s="27" t="s">
        <v>6</v>
      </c>
      <c r="G3" s="95"/>
      <c r="H3" s="97"/>
      <c r="I3" s="97"/>
      <c r="J3" s="99"/>
      <c r="L3" s="44"/>
      <c r="M3" s="42"/>
      <c r="N3" s="42"/>
      <c r="O3" s="42"/>
    </row>
    <row r="4" spans="2:15" ht="15" customHeight="1" x14ac:dyDescent="0.25">
      <c r="B4" s="111" t="s">
        <v>37</v>
      </c>
      <c r="C4" s="112"/>
      <c r="D4" s="112"/>
      <c r="E4" s="113"/>
      <c r="G4" s="114" t="s">
        <v>24</v>
      </c>
      <c r="H4" s="116"/>
      <c r="I4" s="116" t="s">
        <v>23</v>
      </c>
      <c r="J4" s="118"/>
      <c r="L4" s="44"/>
      <c r="M4" s="42"/>
      <c r="N4" s="42"/>
      <c r="O4" s="42"/>
    </row>
    <row r="5" spans="2:15" ht="15.75" customHeight="1" thickBot="1" x14ac:dyDescent="0.3">
      <c r="B5" s="32" t="s">
        <v>26</v>
      </c>
      <c r="C5" s="23"/>
      <c r="D5" s="23"/>
      <c r="E5" s="26" t="str">
        <f>IF(C5 + D5 &lt;= 1, "1d4", IF(C5 + D5 = 2, "1d6", IF(C5 + D5 = 3, "1d8", IF(C5 + D5 = 4, "1d10", IF(C5 + D5 = 5, "2d6", IF(C5 + D5 = 6, "2d8", IF(C5 + D5 = 7, "2d10", IF(C5 + D5 = 8, "3d8", IF(C5 + D5 = 9, "3d10", IF(C5 + D5 = 10, "4d8", ))))))))))</f>
        <v>1d4</v>
      </c>
      <c r="G5" s="115"/>
      <c r="H5" s="117"/>
      <c r="I5" s="117"/>
      <c r="J5" s="119"/>
      <c r="L5" s="44"/>
      <c r="M5" s="42"/>
      <c r="N5" s="42"/>
      <c r="O5" s="42"/>
    </row>
    <row r="6" spans="2:15" x14ac:dyDescent="0.25">
      <c r="B6" s="31" t="s">
        <v>32</v>
      </c>
      <c r="C6" s="25"/>
      <c r="D6" s="25"/>
      <c r="E6" s="24" t="str">
        <f>IF(C6 + D6 &lt;= 1, "1d4", IF(C6 + D6 = 2, "1d6", IF(C6 + D6 = 3, "1d8", IF(C6 + D6 = 4, "1d10", IF(C6 + D6 = 5, "2d6", IF(C6 + D6 = 6, "2d8", IF(C6 + D6 = 7, "2d10", IF(C6 + D6 = 8, "3d8", IF(C6 + D6 = 9, "3d10", IF(C6 + D6 = 10, "4d8", ))))))))))</f>
        <v>1d4</v>
      </c>
      <c r="G6" s="269" t="s">
        <v>120</v>
      </c>
      <c r="H6" s="270"/>
      <c r="I6" s="270" t="s">
        <v>23</v>
      </c>
      <c r="J6" s="271"/>
      <c r="L6" s="44"/>
      <c r="M6" s="42"/>
      <c r="N6" s="42"/>
      <c r="O6" s="42"/>
    </row>
    <row r="7" spans="2:15" ht="15.75" customHeight="1" thickBot="1" x14ac:dyDescent="0.3">
      <c r="B7" s="33" t="s">
        <v>33</v>
      </c>
      <c r="C7" s="22"/>
      <c r="D7" s="22"/>
      <c r="E7" s="21" t="str">
        <f>IF(C7 + D7 &lt;= 1, "1d4", IF(C7 + D7 = 2, "1d6", IF(C7 + D7 = 3, "1d8", IF(C7 + D7 = 4, "1d10", IF(C7 + D7 = 5, "2d6", IF(C7 + D7 = 6, "2d8", IF(C7 + D7 = 7, "2d10", IF(C7 + D7 = 8, "3d8", IF(C7 + D7 = 9, "3d10", IF(C7 + D7 = 10, "4d8", ))))))))))</f>
        <v>1d4</v>
      </c>
      <c r="G7" s="272"/>
      <c r="H7" s="273"/>
      <c r="I7" s="273"/>
      <c r="J7" s="274"/>
      <c r="L7" s="44"/>
      <c r="M7" s="42"/>
      <c r="N7" s="42"/>
      <c r="O7" s="42"/>
    </row>
    <row r="8" spans="2:15" ht="15.75" customHeight="1" thickBot="1" x14ac:dyDescent="0.3">
      <c r="B8" s="126" t="s">
        <v>38</v>
      </c>
      <c r="C8" s="127"/>
      <c r="D8" s="127"/>
      <c r="E8" s="128"/>
      <c r="L8" s="44"/>
      <c r="M8" s="42"/>
      <c r="N8" s="42"/>
      <c r="O8" s="42"/>
    </row>
    <row r="9" spans="2:15" x14ac:dyDescent="0.25">
      <c r="B9" s="20" t="str">
        <f>IF(L24 = 0,"Learning","Aprendizado")</f>
        <v>Learning</v>
      </c>
      <c r="C9" s="19"/>
      <c r="D9" s="19"/>
      <c r="E9" s="18" t="str">
        <f>IF(C9 + D9 &lt;= 1, "1d4", IF(C9 + D9 = 2, "1d6", IF(C9 + D9 = 3, "1d8", IF(C9 + D9 = 4, "1d10", IF(C9 + D9 = 5, "2d6", IF(C9 + D9 = 6, "2d8", IF(C9 + D9 = 7, "2d10", IF(C9 + D9 = 8, "3d8", IF(C9 + D9 = 9, "3d10", IF(C9 + D9 = 10, "4d8", ))))))))))</f>
        <v>1d4</v>
      </c>
      <c r="G9" s="120" t="s">
        <v>25</v>
      </c>
      <c r="H9" s="122"/>
      <c r="I9" s="122"/>
      <c r="J9" s="123"/>
      <c r="L9" s="44"/>
      <c r="M9" s="42"/>
      <c r="N9" s="42"/>
      <c r="O9" s="42"/>
    </row>
    <row r="10" spans="2:15" ht="15" customHeight="1" thickBot="1" x14ac:dyDescent="0.3">
      <c r="B10" s="34" t="s">
        <v>39</v>
      </c>
      <c r="C10" s="17"/>
      <c r="D10" s="17"/>
      <c r="E10" s="16" t="str">
        <f>IF(C10 + D10 &lt;= 1, "1d4", IF(C10 + D10 = 2, "1d6", IF(C10 + D10 = 3, "1d8", IF(C10 + D10 = 4, "1d10", IF(C10 + D10 = 5, "2d6", IF(C10 + D10 = 6, "2d8", IF(C10 + D10 = 7, "2d10", IF(C10 + D10 = 8, "3d8", IF(C10 + D10 = 9, "3d10", IF(C10 + D10 = 10, "4d8", ))))))))))</f>
        <v>1d4</v>
      </c>
      <c r="G10" s="121"/>
      <c r="H10" s="124"/>
      <c r="I10" s="124"/>
      <c r="J10" s="125"/>
      <c r="L10" s="44"/>
      <c r="M10" s="42"/>
      <c r="N10" s="42"/>
      <c r="O10" s="42"/>
    </row>
    <row r="11" spans="2:15" ht="15.75" customHeight="1" thickBot="1" x14ac:dyDescent="0.3">
      <c r="B11" s="35" t="s">
        <v>40</v>
      </c>
      <c r="C11" s="19"/>
      <c r="D11" s="19"/>
      <c r="E11" s="18" t="str">
        <f>IF(C11 + D11 &lt;= 1, "1d4", IF(C11 + D11 = 2, "1d6", IF(C11 + D11 = 3, "1d8", IF(C11 + D11 = 4, "1d10", IF(C11 + D11 = 5, "2d6", IF(C11 + D11 = 6, "2d8", IF(C11 + D11 = 7, "2d10", IF(C11 + D11 = 8, "3d8", IF(C11 + D11 = 9, "3d10", IF(C11 + D11 = 10, "4d8", ))))))))))</f>
        <v>1d4</v>
      </c>
      <c r="L11" s="44"/>
      <c r="M11" s="42"/>
      <c r="N11" s="42"/>
      <c r="O11" s="42"/>
    </row>
    <row r="12" spans="2:15" ht="15.75" customHeight="1" thickBot="1" x14ac:dyDescent="0.3">
      <c r="B12" s="34" t="s">
        <v>41</v>
      </c>
      <c r="C12" s="17"/>
      <c r="D12" s="17"/>
      <c r="E12" s="16" t="str">
        <f>IF(C12 + D12 &lt;= 1, "1d4", IF(C12 + D12 = 2, "1d6", IF(C12 + D12 = 3, "1d8", IF(C12 + D12 = 4, "1d10", IF(C12 + D12 = 5, "2d6", IF(C12 + D12 = 6, "2d8", IF(C12 + D12 = 7, "2d10", IF(C12 + D12 = 8, "3d8", IF(C12 + D12 = 9, "3d10", IF(C12 + D12 = 10, "4d8", ))))))))))</f>
        <v>1d4</v>
      </c>
      <c r="G12" s="267" t="s">
        <v>117</v>
      </c>
      <c r="H12" s="275">
        <f>8+H17</f>
        <v>8</v>
      </c>
      <c r="I12" s="275"/>
      <c r="J12" s="276"/>
      <c r="L12" s="44"/>
      <c r="M12" s="42"/>
      <c r="N12" s="42"/>
      <c r="O12" s="42"/>
    </row>
    <row r="13" spans="2:15" ht="15.75" customHeight="1" thickBot="1" x14ac:dyDescent="0.3">
      <c r="B13" s="129" t="s">
        <v>42</v>
      </c>
      <c r="C13" s="130"/>
      <c r="D13" s="130"/>
      <c r="E13" s="131"/>
      <c r="G13" s="268"/>
      <c r="H13" s="277"/>
      <c r="I13" s="277"/>
      <c r="J13" s="278"/>
    </row>
    <row r="14" spans="2:15" ht="15" customHeight="1" thickBot="1" x14ac:dyDescent="0.3">
      <c r="B14" s="36" t="s">
        <v>43</v>
      </c>
      <c r="C14" s="15"/>
      <c r="D14" s="15"/>
      <c r="E14" s="14" t="str">
        <f>IF(C14 + D14 &lt;= 1, "1d4", IF(C14 + D14 = 2, "1d6", IF(C14 + D14 = 3, "1d8", IF(C14 + D14 = 4, "1d10", IF(C14 + D14 = 5, "2d6", IF(C14 + D14 = 6, "2d8", IF(C14 + D14 = 7, "2d10", IF(C14 + D14 = 8, "3d8", IF(C14 + D14 = 9, "3d10", IF(C14 + D14 = 10, "4d8", ))))))))))</f>
        <v>1d4</v>
      </c>
    </row>
    <row r="15" spans="2:15" ht="15" customHeight="1" x14ac:dyDescent="0.25">
      <c r="B15" s="37" t="s">
        <v>44</v>
      </c>
      <c r="C15" s="13"/>
      <c r="D15" s="13"/>
      <c r="E15" s="12" t="str">
        <f>IF(C15 + D15 &lt;= 1, "1d4", IF(C15 + D15 = 2, "1d6", IF(C15 + D15 = 3, "1d8", IF(C15 + D15 = 4, "1d10", IF(C15 + D15 = 5, "2d6", IF(C15 + D15 = 6, "2d8", IF(C15 + D15 = 7, "2d10", IF(C15 + D15 = 8, "3d8", IF(C15 + D15 = 9, "3d10", IF(C15 + D15 = 10, "4d8", ))))))))))</f>
        <v>1d4</v>
      </c>
      <c r="G15" s="83" t="s">
        <v>118</v>
      </c>
      <c r="H15" s="85"/>
    </row>
    <row r="16" spans="2:15" ht="15.75" customHeight="1" thickBot="1" x14ac:dyDescent="0.3">
      <c r="B16" s="38" t="s">
        <v>45</v>
      </c>
      <c r="C16" s="11"/>
      <c r="D16" s="11"/>
      <c r="E16" s="10" t="str">
        <f>IF(C16 + D16 &lt;= 1, "1d4", IF(C16 + D16 = 2, "1d6", IF(C16 + D16 = 3, "1d8", IF(C16 + D16 = 4, "1d10", IF(C16 + D16 = 5, "2d6", IF(C16 + D16 = 6, "2d8", IF(C16 + D16 = 7, "2d10", IF(C16 + D16 = 8, "3d8", IF(C16 + D16 = 9, "3d10", IF(C16 + D16 = 10, "4d8", ))))))))))</f>
        <v>1d4</v>
      </c>
      <c r="G16" s="84"/>
      <c r="H16" s="86"/>
    </row>
    <row r="17" spans="2:10" ht="15" customHeight="1" x14ac:dyDescent="0.25">
      <c r="B17" s="132" t="s">
        <v>53</v>
      </c>
      <c r="C17" s="133"/>
      <c r="D17" s="133"/>
      <c r="E17" s="134"/>
      <c r="G17" s="87" t="s">
        <v>119</v>
      </c>
      <c r="H17" s="89"/>
    </row>
    <row r="18" spans="2:10" ht="15.75" customHeight="1" thickBot="1" x14ac:dyDescent="0.3">
      <c r="B18" s="39" t="s">
        <v>46</v>
      </c>
      <c r="C18" s="7"/>
      <c r="D18" s="7"/>
      <c r="E18" s="6" t="str">
        <f t="shared" ref="E18:E25" si="0">IF(C18 + D18 &lt;= 1, "1d4", IF(C18 + D18 = 2, "1d6", IF(C18 + D18 = 3, "1d8", IF(C18 + D18 = 4, "1d10", IF(C18 + D18 = 5, "2d6", IF(C18 + D18 = 6, "2d8", IF(C18 + D18 = 7, "2d10", IF(C18 + D18 = 8, "3d8", IF(C18 + D18 = 9, "3d10", IF(C18 + D18 = 10, "4d8", ))))))))))</f>
        <v>1d4</v>
      </c>
      <c r="G18" s="88"/>
      <c r="H18" s="90"/>
    </row>
    <row r="19" spans="2:10" ht="15.75" thickBot="1" x14ac:dyDescent="0.3">
      <c r="B19" s="40" t="s">
        <v>47</v>
      </c>
      <c r="C19" s="9"/>
      <c r="D19" s="9"/>
      <c r="E19" s="8" t="str">
        <f t="shared" si="0"/>
        <v>1d4</v>
      </c>
    </row>
    <row r="20" spans="2:10" x14ac:dyDescent="0.25">
      <c r="B20" s="39" t="s">
        <v>48</v>
      </c>
      <c r="C20" s="7"/>
      <c r="D20" s="7"/>
      <c r="E20" s="6" t="str">
        <f t="shared" si="0"/>
        <v>1d4</v>
      </c>
      <c r="G20" s="106" t="str">
        <f>IF(Q17 = 0, "Defense Calculation", "Cálculo de Defesa")</f>
        <v>Defense Calculation</v>
      </c>
      <c r="H20" s="107"/>
      <c r="I20" s="107"/>
      <c r="J20" s="108"/>
    </row>
    <row r="21" spans="2:10" x14ac:dyDescent="0.25">
      <c r="B21" s="40" t="s">
        <v>49</v>
      </c>
      <c r="C21" s="9"/>
      <c r="D21" s="9"/>
      <c r="E21" s="8" t="str">
        <f t="shared" si="0"/>
        <v>1d4</v>
      </c>
      <c r="G21" s="46" t="str">
        <f>IF(Q17 = 0, "Pre-Defense", "Antes da Defesa")</f>
        <v>Pre-Defense</v>
      </c>
      <c r="H21" s="109" t="str">
        <f>IF(Q17 = 0, "Post-Defense", "Pós-Defesa")</f>
        <v>Post-Defense</v>
      </c>
      <c r="I21" s="109"/>
      <c r="J21" s="110"/>
    </row>
    <row r="22" spans="2:10" ht="15" customHeight="1" x14ac:dyDescent="0.25">
      <c r="B22" s="39" t="s">
        <v>50</v>
      </c>
      <c r="C22" s="7"/>
      <c r="D22" s="7"/>
      <c r="E22" s="6" t="str">
        <f t="shared" si="0"/>
        <v>1d4</v>
      </c>
      <c r="G22" s="100"/>
      <c r="H22" s="102" t="str">
        <f>IF(G22 = "", "", IF(H17 &lt; 0, G22 - (H15), IF(ROUNDUP(G22 * 10/(H17+10) - (H15), 0) &gt;= 0, ROUNDUP(G22 * 10/(H17+10) - (H15), 0), 0)))</f>
        <v/>
      </c>
      <c r="I22" s="102"/>
      <c r="J22" s="103"/>
    </row>
    <row r="23" spans="2:10" ht="15.75" customHeight="1" thickBot="1" x14ac:dyDescent="0.3">
      <c r="B23" s="40" t="s">
        <v>27</v>
      </c>
      <c r="C23" s="9"/>
      <c r="D23" s="9"/>
      <c r="E23" s="8" t="str">
        <f t="shared" si="0"/>
        <v>1d4</v>
      </c>
      <c r="G23" s="101"/>
      <c r="H23" s="104"/>
      <c r="I23" s="104"/>
      <c r="J23" s="105"/>
    </row>
    <row r="24" spans="2:10" ht="15.75" thickBot="1" x14ac:dyDescent="0.3">
      <c r="B24" s="39" t="s">
        <v>51</v>
      </c>
      <c r="C24" s="7"/>
      <c r="D24" s="7"/>
      <c r="E24" s="6" t="str">
        <f t="shared" si="0"/>
        <v>1d4</v>
      </c>
    </row>
    <row r="25" spans="2:10" ht="24" customHeight="1" thickBot="1" x14ac:dyDescent="0.3">
      <c r="B25" s="41" t="s">
        <v>52</v>
      </c>
      <c r="C25" s="5"/>
      <c r="D25" s="5"/>
      <c r="E25" s="4" t="str">
        <f t="shared" si="0"/>
        <v>1d4</v>
      </c>
      <c r="G25" s="135" t="s">
        <v>116</v>
      </c>
      <c r="H25" s="136"/>
    </row>
    <row r="26" spans="2:10" ht="15.75" customHeight="1" thickTop="1" thickBot="1" x14ac:dyDescent="0.3">
      <c r="G26" s="80"/>
      <c r="H26" s="82"/>
    </row>
    <row r="27" spans="2:10" ht="15.75" customHeight="1" x14ac:dyDescent="0.25"/>
  </sheetData>
  <mergeCells count="31">
    <mergeCell ref="G25:G26"/>
    <mergeCell ref="H25:H26"/>
    <mergeCell ref="G6:G7"/>
    <mergeCell ref="H6:H7"/>
    <mergeCell ref="I6:I7"/>
    <mergeCell ref="J6:J7"/>
    <mergeCell ref="H12:J13"/>
    <mergeCell ref="G22:G23"/>
    <mergeCell ref="H22:J23"/>
    <mergeCell ref="G20:J20"/>
    <mergeCell ref="H21:J21"/>
    <mergeCell ref="B4:E4"/>
    <mergeCell ref="G4:G5"/>
    <mergeCell ref="H4:H5"/>
    <mergeCell ref="I4:I5"/>
    <mergeCell ref="J4:J5"/>
    <mergeCell ref="G9:G10"/>
    <mergeCell ref="H9:J10"/>
    <mergeCell ref="B8:E8"/>
    <mergeCell ref="B13:E13"/>
    <mergeCell ref="B17:E17"/>
    <mergeCell ref="B2:E2"/>
    <mergeCell ref="G2:G3"/>
    <mergeCell ref="H2:H3"/>
    <mergeCell ref="I2:I3"/>
    <mergeCell ref="J2:J3"/>
    <mergeCell ref="G12:G13"/>
    <mergeCell ref="G15:G16"/>
    <mergeCell ref="H15:H16"/>
    <mergeCell ref="G17:G18"/>
    <mergeCell ref="H17:H18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O26"/>
  <sheetViews>
    <sheetView showGridLines="0" topLeftCell="A4" workbookViewId="0">
      <selection activeCell="A17" sqref="A17"/>
    </sheetView>
  </sheetViews>
  <sheetFormatPr defaultRowHeight="15" x14ac:dyDescent="0.25"/>
  <cols>
    <col min="1" max="1" width="2.42578125" customWidth="1"/>
    <col min="2" max="2" width="10.7109375" bestFit="1" customWidth="1"/>
    <col min="6" max="6" width="3.140625" customWidth="1"/>
    <col min="7" max="7" width="18.140625" bestFit="1" customWidth="1"/>
    <col min="8" max="8" width="10.42578125" customWidth="1"/>
    <col min="9" max="9" width="2.42578125" customWidth="1"/>
    <col min="10" max="10" width="15.28515625" customWidth="1"/>
    <col min="12" max="12" width="19.85546875" bestFit="1" customWidth="1"/>
    <col min="13" max="13" width="59.5703125" customWidth="1"/>
    <col min="14" max="15" width="11" customWidth="1"/>
  </cols>
  <sheetData>
    <row r="1" spans="2:15" ht="9" customHeight="1" thickBot="1" x14ac:dyDescent="0.3"/>
    <row r="2" spans="2:15" ht="15.75" customHeight="1" thickTop="1" x14ac:dyDescent="0.3">
      <c r="B2" s="91" t="s">
        <v>34</v>
      </c>
      <c r="C2" s="92"/>
      <c r="D2" s="92"/>
      <c r="E2" s="93"/>
      <c r="G2" s="94" t="s">
        <v>22</v>
      </c>
      <c r="H2" s="137">
        <v>60</v>
      </c>
      <c r="I2" s="96" t="s">
        <v>23</v>
      </c>
      <c r="J2" s="139">
        <v>60</v>
      </c>
      <c r="L2" s="30" t="s">
        <v>29</v>
      </c>
      <c r="M2" s="30" t="s">
        <v>30</v>
      </c>
      <c r="N2" s="30" t="s">
        <v>7</v>
      </c>
      <c r="O2" s="50" t="s">
        <v>31</v>
      </c>
    </row>
    <row r="3" spans="2:15" ht="30.75" thickBot="1" x14ac:dyDescent="0.3">
      <c r="B3" s="29" t="s">
        <v>1</v>
      </c>
      <c r="C3" s="28" t="s">
        <v>35</v>
      </c>
      <c r="D3" s="28" t="s">
        <v>36</v>
      </c>
      <c r="E3" s="27" t="s">
        <v>6</v>
      </c>
      <c r="G3" s="95"/>
      <c r="H3" s="138"/>
      <c r="I3" s="97"/>
      <c r="J3" s="140"/>
      <c r="L3" s="44" t="s">
        <v>59</v>
      </c>
      <c r="M3" s="49" t="s">
        <v>84</v>
      </c>
      <c r="N3" s="42" t="s">
        <v>28</v>
      </c>
      <c r="O3" s="42" t="s">
        <v>28</v>
      </c>
    </row>
    <row r="4" spans="2:15" ht="15" customHeight="1" x14ac:dyDescent="0.25">
      <c r="B4" s="111" t="s">
        <v>37</v>
      </c>
      <c r="C4" s="112"/>
      <c r="D4" s="112"/>
      <c r="E4" s="113"/>
      <c r="G4" s="114" t="s">
        <v>24</v>
      </c>
      <c r="H4" s="116">
        <v>0</v>
      </c>
      <c r="I4" s="116" t="s">
        <v>23</v>
      </c>
      <c r="J4" s="118">
        <v>0</v>
      </c>
      <c r="L4" s="44"/>
      <c r="M4" s="42"/>
      <c r="N4" s="42"/>
      <c r="O4" s="42"/>
    </row>
    <row r="5" spans="2:15" ht="15.75" customHeight="1" thickBot="1" x14ac:dyDescent="0.3">
      <c r="B5" s="32" t="s">
        <v>26</v>
      </c>
      <c r="C5" s="23">
        <v>3</v>
      </c>
      <c r="D5" s="23"/>
      <c r="E5" s="26" t="str">
        <f>IF(C5 + D5 &lt;= 1, "1d4", IF(C5 + D5 = 2, "1d6", IF(C5 + D5 = 3, "1d8", IF(C5 + D5 = 4, "1d10", IF(C5 + D5 = 5, "2d6", IF(C5 + D5 = 6, "2d8", IF(C5 + D5 = 7, "2d10", IF(C5 + D5 = 8, "3d8", IF(C5 + D5 = 9, "3d10", IF(C5 + D5 = 10, "4d8", ))))))))))</f>
        <v>1d8</v>
      </c>
      <c r="G5" s="115"/>
      <c r="H5" s="117"/>
      <c r="I5" s="117"/>
      <c r="J5" s="119"/>
      <c r="L5" s="44"/>
      <c r="M5" s="42"/>
      <c r="N5" s="42"/>
      <c r="O5" s="42"/>
    </row>
    <row r="6" spans="2:15" ht="15.75" thickBot="1" x14ac:dyDescent="0.3">
      <c r="B6" s="31" t="s">
        <v>32</v>
      </c>
      <c r="C6" s="25">
        <v>1</v>
      </c>
      <c r="D6" s="25"/>
      <c r="E6" s="24" t="str">
        <f>IF(C6 + D6 &lt;= 1, "1d4", IF(C6 + D6 = 2, "1d6", IF(C6 + D6 = 3, "1d8", IF(C6 + D6 = 4, "1d10", IF(C6 + D6 = 5, "2d6", IF(C6 + D6 = 6, "2d8", IF(C6 + D6 = 7, "2d10", IF(C6 + D6 = 8, "3d8", IF(C6 + D6 = 9, "3d10", IF(C6 + D6 = 10, "4d8", ))))))))))</f>
        <v>1d4</v>
      </c>
      <c r="L6" s="44"/>
      <c r="M6" s="42"/>
      <c r="N6" s="42"/>
      <c r="O6" s="42"/>
    </row>
    <row r="7" spans="2:15" ht="15.75" customHeight="1" thickBot="1" x14ac:dyDescent="0.3">
      <c r="B7" s="33" t="s">
        <v>33</v>
      </c>
      <c r="C7" s="22">
        <v>1</v>
      </c>
      <c r="D7" s="22"/>
      <c r="E7" s="21" t="str">
        <f>IF(C7 + D7 &lt;= 1, "1d4", IF(C7 + D7 = 2, "1d6", IF(C7 + D7 = 3, "1d8", IF(C7 + D7 = 4, "1d10", IF(C7 + D7 = 5, "2d6", IF(C7 + D7 = 6, "2d8", IF(C7 + D7 = 7, "2d10", IF(C7 + D7 = 8, "3d8", IF(C7 + D7 = 9, "3d10", IF(C7 + D7 = 10, "4d8", ))))))))))</f>
        <v>1d4</v>
      </c>
      <c r="G7" s="120" t="s">
        <v>25</v>
      </c>
      <c r="H7" s="122" t="s">
        <v>83</v>
      </c>
      <c r="I7" s="122"/>
      <c r="J7" s="123"/>
      <c r="L7" s="44"/>
      <c r="M7" s="42"/>
      <c r="N7" s="42"/>
      <c r="O7" s="42"/>
    </row>
    <row r="8" spans="2:15" ht="15.75" customHeight="1" thickBot="1" x14ac:dyDescent="0.3">
      <c r="B8" s="126" t="s">
        <v>38</v>
      </c>
      <c r="C8" s="127"/>
      <c r="D8" s="127"/>
      <c r="E8" s="128"/>
      <c r="G8" s="121"/>
      <c r="H8" s="124"/>
      <c r="I8" s="124"/>
      <c r="J8" s="125"/>
      <c r="L8" s="44"/>
      <c r="M8" s="42"/>
      <c r="N8" s="42"/>
      <c r="O8" s="42"/>
    </row>
    <row r="9" spans="2:15" ht="15.75" thickBot="1" x14ac:dyDescent="0.3">
      <c r="B9" s="20" t="str">
        <f>IF(L24 = 0,"Learning","Aprendizado")</f>
        <v>Learning</v>
      </c>
      <c r="C9" s="19"/>
      <c r="D9" s="19"/>
      <c r="E9" s="18" t="str">
        <f>IF(C9 + D9 &lt;= 1, "1d4", IF(C9 + D9 = 2, "1d6", IF(C9 + D9 = 3, "1d8", IF(C9 + D9 = 4, "1d10", IF(C9 + D9 = 5, "2d6", IF(C9 + D9 = 6, "2d8", IF(C9 + D9 = 7, "2d10", IF(C9 + D9 = 8, "3d8", IF(C9 + D9 = 9, "3d10", IF(C9 + D9 = 10, "4d8", ))))))))))</f>
        <v>1d4</v>
      </c>
      <c r="L9" s="44"/>
      <c r="M9" s="42"/>
      <c r="N9" s="42"/>
      <c r="O9" s="42"/>
    </row>
    <row r="10" spans="2:15" x14ac:dyDescent="0.25">
      <c r="B10" s="34" t="s">
        <v>39</v>
      </c>
      <c r="C10" s="17"/>
      <c r="D10" s="17"/>
      <c r="E10" s="16" t="str">
        <f>IF(C10 + D10 &lt;= 1, "1d4", IF(C10 + D10 = 2, "1d6", IF(C10 + D10 = 3, "1d8", IF(C10 + D10 = 4, "1d10", IF(C10 + D10 = 5, "2d6", IF(C10 + D10 = 6, "2d8", IF(C10 + D10 = 7, "2d10", IF(C10 + D10 = 8, "3d8", IF(C10 + D10 = 9, "3d10", IF(C10 + D10 = 10, "4d8", ))))))))))</f>
        <v>1d4</v>
      </c>
      <c r="G10" s="135" t="s">
        <v>57</v>
      </c>
      <c r="H10" s="136">
        <v>4</v>
      </c>
      <c r="L10" s="44"/>
      <c r="M10" s="42"/>
      <c r="N10" s="42"/>
      <c r="O10" s="42"/>
    </row>
    <row r="11" spans="2:15" x14ac:dyDescent="0.25">
      <c r="B11" s="35" t="s">
        <v>40</v>
      </c>
      <c r="C11" s="19">
        <v>3</v>
      </c>
      <c r="D11" s="19"/>
      <c r="E11" s="18" t="str">
        <f>IF(C11 + D11 &lt;= 1, "1d4", IF(C11 + D11 = 2, "1d6", IF(C11 + D11 = 3, "1d8", IF(C11 + D11 = 4, "1d10", IF(C11 + D11 = 5, "2d6", IF(C11 + D11 = 6, "2d8", IF(C11 + D11 = 7, "2d10", IF(C11 + D11 = 8, "3d8", IF(C11 + D11 = 9, "3d10", IF(C11 + D11 = 10, "4d8", ))))))))))</f>
        <v>1d8</v>
      </c>
      <c r="G11" s="79"/>
      <c r="H11" s="81"/>
      <c r="L11" s="44"/>
      <c r="M11" s="42"/>
      <c r="N11" s="42"/>
      <c r="O11" s="42"/>
    </row>
    <row r="12" spans="2:15" ht="15.75" thickBot="1" x14ac:dyDescent="0.3">
      <c r="B12" s="34" t="s">
        <v>41</v>
      </c>
      <c r="C12" s="17">
        <v>2</v>
      </c>
      <c r="D12" s="17"/>
      <c r="E12" s="16" t="str">
        <f>IF(C12 + D12 &lt;= 1, "1d4", IF(C12 + D12 = 2, "1d6", IF(C12 + D12 = 3, "1d8", IF(C12 + D12 = 4, "1d10", IF(C12 + D12 = 5, "2d6", IF(C12 + D12 = 6, "2d8", IF(C12 + D12 = 7, "2d10", IF(C12 + D12 = 8, "3d8", IF(C12 + D12 = 9, "3d10", IF(C12 + D12 = 10, "4d8", ))))))))))</f>
        <v>1d6</v>
      </c>
      <c r="G12" s="79" t="s">
        <v>58</v>
      </c>
      <c r="H12" s="81">
        <v>4</v>
      </c>
      <c r="L12" s="44"/>
      <c r="M12" s="42"/>
      <c r="N12" s="42"/>
      <c r="O12" s="42"/>
    </row>
    <row r="13" spans="2:15" ht="15.75" thickBot="1" x14ac:dyDescent="0.3">
      <c r="B13" s="129" t="s">
        <v>42</v>
      </c>
      <c r="C13" s="130"/>
      <c r="D13" s="130"/>
      <c r="E13" s="131"/>
      <c r="G13" s="80"/>
      <c r="H13" s="82"/>
    </row>
    <row r="14" spans="2:15" ht="15.75" thickBot="1" x14ac:dyDescent="0.3">
      <c r="B14" s="36" t="s">
        <v>43</v>
      </c>
      <c r="C14" s="15"/>
      <c r="D14" s="15"/>
      <c r="E14" s="14" t="str">
        <f>IF(C14 + D14 &lt;= 1, "1d4", IF(C14 + D14 = 2, "1d6", IF(C14 + D14 = 3, "1d8", IF(C14 + D14 = 4, "1d10", IF(C14 + D14 = 5, "2d6", IF(C14 + D14 = 6, "2d8", IF(C14 + D14 = 7, "2d10", IF(C14 + D14 = 8, "3d8", IF(C14 + D14 = 9, "3d10", IF(C14 + D14 = 10, "4d8", ))))))))))</f>
        <v>1d4</v>
      </c>
    </row>
    <row r="15" spans="2:15" ht="15" customHeight="1" x14ac:dyDescent="0.25">
      <c r="B15" s="37" t="s">
        <v>44</v>
      </c>
      <c r="C15" s="13"/>
      <c r="D15" s="13"/>
      <c r="E15" s="12" t="str">
        <f>IF(C15 + D15 &lt;= 1, "1d4", IF(C15 + D15 = 2, "1d6", IF(C15 + D15 = 3, "1d8", IF(C15 + D15 = 4, "1d10", IF(C15 + D15 = 5, "2d6", IF(C15 + D15 = 6, "2d8", IF(C15 + D15 = 7, "2d10", IF(C15 + D15 = 8, "3d8", IF(C15 + D15 = 9, "3d10", IF(C15 + D15 = 10, "4d8", ))))))))))</f>
        <v>1d4</v>
      </c>
      <c r="G15" s="83" t="str">
        <f>IF(H27 = 0, "GUARD", "GUARD")</f>
        <v>GUARD</v>
      </c>
      <c r="H15" s="85">
        <v>0</v>
      </c>
    </row>
    <row r="16" spans="2:15" ht="15.75" customHeight="1" thickBot="1" x14ac:dyDescent="0.3">
      <c r="B16" s="38" t="s">
        <v>45</v>
      </c>
      <c r="C16" s="11"/>
      <c r="D16" s="11"/>
      <c r="E16" s="10" t="str">
        <f>IF(C16 + D16 &lt;= 1, "1d4", IF(C16 + D16 = 2, "1d6", IF(C16 + D16 = 3, "1d8", IF(C16 + D16 = 4, "1d10", IF(C16 + D16 = 5, "2d6", IF(C16 + D16 = 6, "2d8", IF(C16 + D16 = 7, "2d10", IF(C16 + D16 = 8, "3d8", IF(C16 + D16 = 9, "3d10", IF(C16 + D16 = 10, "4d8", ))))))))))</f>
        <v>1d4</v>
      </c>
      <c r="G16" s="84"/>
      <c r="H16" s="86"/>
    </row>
    <row r="17" spans="2:10" ht="15" customHeight="1" x14ac:dyDescent="0.25">
      <c r="B17" s="132" t="s">
        <v>53</v>
      </c>
      <c r="C17" s="133"/>
      <c r="D17" s="133"/>
      <c r="E17" s="134"/>
      <c r="G17" s="87" t="str">
        <f>IF(H27 = 0, "DODGE", "EVASÃO")</f>
        <v>DODGE</v>
      </c>
      <c r="H17" s="89">
        <v>0</v>
      </c>
    </row>
    <row r="18" spans="2:10" ht="15.75" customHeight="1" thickBot="1" x14ac:dyDescent="0.3">
      <c r="B18" s="39" t="s">
        <v>46</v>
      </c>
      <c r="C18" s="7"/>
      <c r="D18" s="7"/>
      <c r="E18" s="6" t="str">
        <f t="shared" ref="E18:E25" si="0">IF(C18 + D18 &lt;= 1, "1d4", IF(C18 + D18 = 2, "1d6", IF(C18 + D18 = 3, "1d8", IF(C18 + D18 = 4, "1d10", IF(C18 + D18 = 5, "2d6", IF(C18 + D18 = 6, "2d8", IF(C18 + D18 = 7, "2d10", IF(C18 + D18 = 8, "3d8", IF(C18 + D18 = 9, "3d10", IF(C18 + D18 = 10, "4d8", ))))))))))</f>
        <v>1d4</v>
      </c>
      <c r="G18" s="88"/>
      <c r="H18" s="90"/>
    </row>
    <row r="19" spans="2:10" ht="15.75" thickBot="1" x14ac:dyDescent="0.3">
      <c r="B19" s="40" t="s">
        <v>47</v>
      </c>
      <c r="C19" s="9"/>
      <c r="D19" s="9"/>
      <c r="E19" s="8" t="str">
        <f t="shared" si="0"/>
        <v>1d4</v>
      </c>
    </row>
    <row r="20" spans="2:10" x14ac:dyDescent="0.25">
      <c r="B20" s="39" t="s">
        <v>48</v>
      </c>
      <c r="C20" s="7">
        <v>2</v>
      </c>
      <c r="D20" s="7"/>
      <c r="E20" s="6" t="str">
        <f t="shared" si="0"/>
        <v>1d6</v>
      </c>
      <c r="G20" s="106" t="str">
        <f>IF(Q17 = 0, "Defense Calculation", "Cálculo de Defesa")</f>
        <v>Defense Calculation</v>
      </c>
      <c r="H20" s="107"/>
      <c r="I20" s="107"/>
      <c r="J20" s="108"/>
    </row>
    <row r="21" spans="2:10" x14ac:dyDescent="0.25">
      <c r="B21" s="40" t="s">
        <v>49</v>
      </c>
      <c r="C21" s="9"/>
      <c r="D21" s="9"/>
      <c r="E21" s="8" t="str">
        <f t="shared" si="0"/>
        <v>1d4</v>
      </c>
      <c r="G21" s="46" t="str">
        <f>IF(Q17 = 0, "Pre-Defense", "Antes da Defesa")</f>
        <v>Pre-Defense</v>
      </c>
      <c r="H21" s="109" t="str">
        <f>IF(Q17 = 0, "Post-Defense", "Pós-Defesa")</f>
        <v>Post-Defense</v>
      </c>
      <c r="I21" s="109"/>
      <c r="J21" s="110"/>
    </row>
    <row r="22" spans="2:10" ht="15" customHeight="1" x14ac:dyDescent="0.25">
      <c r="B22" s="39" t="s">
        <v>50</v>
      </c>
      <c r="C22" s="7"/>
      <c r="D22" s="7"/>
      <c r="E22" s="6" t="str">
        <f t="shared" si="0"/>
        <v>1d4</v>
      </c>
      <c r="G22" s="100"/>
      <c r="H22" s="102" t="str">
        <f>IF(G22 = "", "", IF(H17 &lt; 0, G22 - (H15), IF(ROUNDUP(G22 * 10/(H17+10) - (H15), 0) &gt;= 0, ROUNDUP(G22 * 10/(H17+10) - (H15), 0), 0)))</f>
        <v/>
      </c>
      <c r="I22" s="102"/>
      <c r="J22" s="103"/>
    </row>
    <row r="23" spans="2:10" ht="15.75" customHeight="1" thickBot="1" x14ac:dyDescent="0.3">
      <c r="B23" s="40" t="s">
        <v>27</v>
      </c>
      <c r="C23" s="9"/>
      <c r="D23" s="9"/>
      <c r="E23" s="8" t="str">
        <f t="shared" si="0"/>
        <v>1d4</v>
      </c>
      <c r="G23" s="101"/>
      <c r="H23" s="104"/>
      <c r="I23" s="104"/>
      <c r="J23" s="105"/>
    </row>
    <row r="24" spans="2:10" x14ac:dyDescent="0.25">
      <c r="B24" s="39" t="s">
        <v>51</v>
      </c>
      <c r="C24" s="7"/>
      <c r="D24" s="7"/>
      <c r="E24" s="6" t="str">
        <f t="shared" si="0"/>
        <v>1d4</v>
      </c>
    </row>
    <row r="25" spans="2:10" ht="15.75" thickBot="1" x14ac:dyDescent="0.3">
      <c r="B25" s="41" t="s">
        <v>52</v>
      </c>
      <c r="C25" s="5"/>
      <c r="D25" s="5"/>
      <c r="E25" s="4" t="str">
        <f t="shared" si="0"/>
        <v>1d4</v>
      </c>
    </row>
    <row r="26" spans="2:10" ht="15.75" thickTop="1" x14ac:dyDescent="0.25"/>
  </sheetData>
  <mergeCells count="27">
    <mergeCell ref="H21:J21"/>
    <mergeCell ref="G22:G23"/>
    <mergeCell ref="H22:J23"/>
    <mergeCell ref="G15:G16"/>
    <mergeCell ref="H15:H16"/>
    <mergeCell ref="B17:E17"/>
    <mergeCell ref="G17:G18"/>
    <mergeCell ref="H17:H18"/>
    <mergeCell ref="G20:J20"/>
    <mergeCell ref="G7:G8"/>
    <mergeCell ref="H7:J8"/>
    <mergeCell ref="B8:E8"/>
    <mergeCell ref="G10:G11"/>
    <mergeCell ref="H10:H11"/>
    <mergeCell ref="G12:G13"/>
    <mergeCell ref="H12:H13"/>
    <mergeCell ref="B13:E13"/>
    <mergeCell ref="B2:E2"/>
    <mergeCell ref="G2:G3"/>
    <mergeCell ref="H2:H3"/>
    <mergeCell ref="I2:I3"/>
    <mergeCell ref="J2:J3"/>
    <mergeCell ref="B4:E4"/>
    <mergeCell ref="G4:G5"/>
    <mergeCell ref="H4:H5"/>
    <mergeCell ref="I4:I5"/>
    <mergeCell ref="J4:J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O26"/>
  <sheetViews>
    <sheetView showGridLines="0" workbookViewId="0">
      <selection activeCell="H22" sqref="H22:J23"/>
    </sheetView>
  </sheetViews>
  <sheetFormatPr defaultRowHeight="15" x14ac:dyDescent="0.25"/>
  <cols>
    <col min="1" max="1" width="2.140625" customWidth="1"/>
    <col min="2" max="2" width="10.7109375" bestFit="1" customWidth="1"/>
    <col min="6" max="6" width="3.140625" customWidth="1"/>
    <col min="7" max="7" width="18.140625" bestFit="1" customWidth="1"/>
    <col min="8" max="8" width="10.42578125" customWidth="1"/>
    <col min="9" max="9" width="2.42578125" customWidth="1"/>
    <col min="10" max="10" width="11" customWidth="1"/>
    <col min="12" max="12" width="19.85546875" bestFit="1" customWidth="1"/>
    <col min="13" max="13" width="55.140625" bestFit="1" customWidth="1"/>
    <col min="14" max="15" width="11" customWidth="1"/>
  </cols>
  <sheetData>
    <row r="1" spans="2:15" ht="9.75" customHeight="1" thickBot="1" x14ac:dyDescent="0.3"/>
    <row r="2" spans="2:15" ht="15.75" customHeight="1" thickTop="1" x14ac:dyDescent="0.3">
      <c r="B2" s="91" t="s">
        <v>34</v>
      </c>
      <c r="C2" s="92"/>
      <c r="D2" s="92"/>
      <c r="E2" s="93"/>
      <c r="G2" s="94" t="s">
        <v>22</v>
      </c>
      <c r="H2" s="141">
        <v>105</v>
      </c>
      <c r="I2" s="96" t="s">
        <v>23</v>
      </c>
      <c r="J2" s="143">
        <v>105</v>
      </c>
      <c r="L2" s="30" t="s">
        <v>29</v>
      </c>
      <c r="M2" s="30" t="s">
        <v>30</v>
      </c>
      <c r="N2" s="30" t="s">
        <v>7</v>
      </c>
      <c r="O2" s="50" t="s">
        <v>31</v>
      </c>
    </row>
    <row r="3" spans="2:15" ht="15.75" customHeight="1" thickBot="1" x14ac:dyDescent="0.3">
      <c r="B3" s="29" t="s">
        <v>1</v>
      </c>
      <c r="C3" s="28" t="s">
        <v>35</v>
      </c>
      <c r="D3" s="28" t="s">
        <v>36</v>
      </c>
      <c r="E3" s="27" t="s">
        <v>6</v>
      </c>
      <c r="G3" s="95"/>
      <c r="H3" s="142"/>
      <c r="I3" s="97"/>
      <c r="J3" s="144"/>
      <c r="L3" s="44" t="s">
        <v>80</v>
      </c>
      <c r="M3" s="44" t="s">
        <v>86</v>
      </c>
      <c r="N3" s="42" t="s">
        <v>28</v>
      </c>
      <c r="O3" s="42" t="s">
        <v>28</v>
      </c>
    </row>
    <row r="4" spans="2:15" ht="15" customHeight="1" x14ac:dyDescent="0.25">
      <c r="B4" s="111" t="s">
        <v>37</v>
      </c>
      <c r="C4" s="112"/>
      <c r="D4" s="112"/>
      <c r="E4" s="113"/>
      <c r="G4" s="114" t="s">
        <v>24</v>
      </c>
      <c r="H4" s="116">
        <v>0</v>
      </c>
      <c r="I4" s="116" t="s">
        <v>23</v>
      </c>
      <c r="J4" s="118">
        <v>0</v>
      </c>
      <c r="L4" s="44" t="s">
        <v>88</v>
      </c>
      <c r="M4" s="44" t="s">
        <v>89</v>
      </c>
      <c r="N4" s="42" t="s">
        <v>33</v>
      </c>
      <c r="O4" s="42" t="s">
        <v>28</v>
      </c>
    </row>
    <row r="5" spans="2:15" ht="15.75" customHeight="1" thickBot="1" x14ac:dyDescent="0.3">
      <c r="B5" s="32" t="s">
        <v>26</v>
      </c>
      <c r="C5" s="23">
        <v>0</v>
      </c>
      <c r="D5" s="23"/>
      <c r="E5" s="26" t="str">
        <f>IF(C5 + D5 &lt;= 1, "1d4", IF(C5 + D5 = 2, "1d6", IF(C5 + D5 = 3, "1d8", IF(C5 + D5 = 4, "1d10", IF(C5 + D5 = 5, "2d6", IF(C5 + D5 = 6, "2d8", IF(C5 + D5 = 7, "2d10", IF(C5 + D5 = 8, "3d8", IF(C5 + D5 = 9, "3d10", IF(C5 + D5 = 10, "4d8", ))))))))))</f>
        <v>1d4</v>
      </c>
      <c r="G5" s="115"/>
      <c r="H5" s="117"/>
      <c r="I5" s="117"/>
      <c r="J5" s="119"/>
      <c r="L5" s="44" t="s">
        <v>87</v>
      </c>
      <c r="M5" s="44" t="s">
        <v>90</v>
      </c>
      <c r="N5" s="42" t="s">
        <v>33</v>
      </c>
      <c r="O5" s="42" t="s">
        <v>28</v>
      </c>
    </row>
    <row r="6" spans="2:15" ht="15.75" thickBot="1" x14ac:dyDescent="0.3">
      <c r="B6" s="31" t="s">
        <v>32</v>
      </c>
      <c r="C6" s="25">
        <v>4</v>
      </c>
      <c r="D6" s="25"/>
      <c r="E6" s="24" t="str">
        <f>IF(C6 + D6 &lt;= 1, "1d4", IF(C6 + D6 = 2, "1d6", IF(C6 + D6 = 3, "1d8", IF(C6 + D6 = 4, "1d10", IF(C6 + D6 = 5, "2d6", IF(C6 + D6 = 6, "2d8", IF(C6 + D6 = 7, "2d10", IF(C6 + D6 = 8, "3d8", IF(C6 + D6 = 9, "3d10", IF(C6 + D6 = 10, "4d8", ))))))))))</f>
        <v>1d10</v>
      </c>
      <c r="L6" s="44"/>
      <c r="M6" s="44"/>
      <c r="N6" s="42"/>
      <c r="O6" s="42"/>
    </row>
    <row r="7" spans="2:15" ht="15.75" customHeight="1" thickBot="1" x14ac:dyDescent="0.3">
      <c r="B7" s="33" t="s">
        <v>33</v>
      </c>
      <c r="C7" s="22">
        <v>6</v>
      </c>
      <c r="D7" s="22">
        <v>1</v>
      </c>
      <c r="E7" s="21" t="str">
        <f>IF(C7 + D7 &lt;= 1, "1d4", IF(C7 + D7 = 2, "1d6", IF(C7 + D7 = 3, "1d8", IF(C7 + D7 = 4, "1d10", IF(C7 + D7 = 5, "2d6", IF(C7 + D7 = 6, "2d8", IF(C7 + D7 = 7, "2d10", IF(C7 + D7 = 8, "3d8", IF(C7 + D7 = 9, "3d10", IF(C7 + D7 = 10, "4d8", ))))))))))</f>
        <v>2d10</v>
      </c>
      <c r="G7" s="120" t="s">
        <v>25</v>
      </c>
      <c r="H7" s="122" t="s">
        <v>85</v>
      </c>
      <c r="I7" s="122"/>
      <c r="J7" s="123"/>
      <c r="L7" s="44"/>
      <c r="M7" s="42"/>
      <c r="N7" s="42"/>
      <c r="O7" s="42"/>
    </row>
    <row r="8" spans="2:15" ht="15.75" customHeight="1" thickBot="1" x14ac:dyDescent="0.3">
      <c r="B8" s="126" t="s">
        <v>38</v>
      </c>
      <c r="C8" s="127"/>
      <c r="D8" s="127"/>
      <c r="E8" s="128"/>
      <c r="G8" s="121"/>
      <c r="H8" s="124"/>
      <c r="I8" s="124"/>
      <c r="J8" s="125"/>
      <c r="L8" s="44"/>
      <c r="M8" s="42"/>
      <c r="N8" s="42"/>
      <c r="O8" s="42"/>
    </row>
    <row r="9" spans="2:15" ht="15.75" thickBot="1" x14ac:dyDescent="0.3">
      <c r="B9" s="20" t="str">
        <f>IF(L24 = 0,"Learning","Aprendizado")</f>
        <v>Learning</v>
      </c>
      <c r="C9" s="19">
        <v>0</v>
      </c>
      <c r="D9" s="19"/>
      <c r="E9" s="18" t="str">
        <f>IF(C9 + D9 &lt;= 1, "1d4", IF(C9 + D9 = 2, "1d6", IF(C9 + D9 = 3, "1d8", IF(C9 + D9 = 4, "1d10", IF(C9 + D9 = 5, "2d6", IF(C9 + D9 = 6, "2d8", IF(C9 + D9 = 7, "2d10", IF(C9 + D9 = 8, "3d8", IF(C9 + D9 = 9, "3d10", IF(C9 + D9 = 10, "4d8", ))))))))))</f>
        <v>1d4</v>
      </c>
      <c r="L9" s="44"/>
      <c r="M9" s="42"/>
      <c r="N9" s="42"/>
      <c r="O9" s="42"/>
    </row>
    <row r="10" spans="2:15" x14ac:dyDescent="0.25">
      <c r="B10" s="34" t="s">
        <v>39</v>
      </c>
      <c r="C10" s="17">
        <v>0</v>
      </c>
      <c r="D10" s="17"/>
      <c r="E10" s="16" t="str">
        <f>IF(C10 + D10 &lt;= 1, "1d4", IF(C10 + D10 = 2, "1d6", IF(C10 + D10 = 3, "1d8", IF(C10 + D10 = 4, "1d10", IF(C10 + D10 = 5, "2d6", IF(C10 + D10 = 6, "2d8", IF(C10 + D10 = 7, "2d10", IF(C10 + D10 = 8, "3d8", IF(C10 + D10 = 9, "3d10", IF(C10 + D10 = 10, "4d8", ))))))))))</f>
        <v>1d4</v>
      </c>
      <c r="G10" s="135" t="s">
        <v>57</v>
      </c>
      <c r="H10" s="136">
        <v>4</v>
      </c>
      <c r="L10" s="44"/>
      <c r="M10" s="42"/>
      <c r="N10" s="42"/>
      <c r="O10" s="42"/>
    </row>
    <row r="11" spans="2:15" x14ac:dyDescent="0.25">
      <c r="B11" s="35" t="s">
        <v>40</v>
      </c>
      <c r="C11" s="19">
        <v>2</v>
      </c>
      <c r="D11" s="19"/>
      <c r="E11" s="18" t="str">
        <f>IF(C11 + D11 &lt;= 1, "1d4", IF(C11 + D11 = 2, "1d6", IF(C11 + D11 = 3, "1d8", IF(C11 + D11 = 4, "1d10", IF(C11 + D11 = 5, "2d6", IF(C11 + D11 = 6, "2d8", IF(C11 + D11 = 7, "2d10", IF(C11 + D11 = 8, "3d8", IF(C11 + D11 = 9, "3d10", IF(C11 + D11 = 10, "4d8", ))))))))))</f>
        <v>1d6</v>
      </c>
      <c r="G11" s="79"/>
      <c r="H11" s="81"/>
      <c r="L11" s="44"/>
      <c r="M11" s="42"/>
      <c r="N11" s="42"/>
      <c r="O11" s="42"/>
    </row>
    <row r="12" spans="2:15" ht="15.75" thickBot="1" x14ac:dyDescent="0.3">
      <c r="B12" s="34" t="s">
        <v>41</v>
      </c>
      <c r="C12" s="17">
        <v>1</v>
      </c>
      <c r="D12" s="17"/>
      <c r="E12" s="16" t="str">
        <f>IF(C12 + D12 &lt;= 1, "1d4", IF(C12 + D12 = 2, "1d6", IF(C12 + D12 = 3, "1d8", IF(C12 + D12 = 4, "1d10", IF(C12 + D12 = 5, "2d6", IF(C12 + D12 = 6, "2d8", IF(C12 + D12 = 7, "2d10", IF(C12 + D12 = 8, "3d8", IF(C12 + D12 = 9, "3d10", IF(C12 + D12 = 10, "4d8", ))))))))))</f>
        <v>1d4</v>
      </c>
      <c r="G12" s="79" t="s">
        <v>58</v>
      </c>
      <c r="H12" s="81">
        <v>4</v>
      </c>
      <c r="L12" s="44"/>
      <c r="M12" s="42"/>
      <c r="N12" s="42"/>
      <c r="O12" s="42"/>
    </row>
    <row r="13" spans="2:15" ht="15.75" thickBot="1" x14ac:dyDescent="0.3">
      <c r="B13" s="129" t="s">
        <v>42</v>
      </c>
      <c r="C13" s="130"/>
      <c r="D13" s="130"/>
      <c r="E13" s="131"/>
      <c r="G13" s="80"/>
      <c r="H13" s="82"/>
    </row>
    <row r="14" spans="2:15" ht="15.75" thickBot="1" x14ac:dyDescent="0.3">
      <c r="B14" s="36" t="s">
        <v>43</v>
      </c>
      <c r="C14" s="15">
        <v>0</v>
      </c>
      <c r="D14" s="15"/>
      <c r="E14" s="14" t="str">
        <f>IF(C14 + D14 &lt;= 1, "1d4", IF(C14 + D14 = 2, "1d6", IF(C14 + D14 = 3, "1d8", IF(C14 + D14 = 4, "1d10", IF(C14 + D14 = 5, "2d6", IF(C14 + D14 = 6, "2d8", IF(C14 + D14 = 7, "2d10", IF(C14 + D14 = 8, "3d8", IF(C14 + D14 = 9, "3d10", IF(C14 + D14 = 10, "4d8", ))))))))))</f>
        <v>1d4</v>
      </c>
    </row>
    <row r="15" spans="2:15" ht="15" customHeight="1" x14ac:dyDescent="0.25">
      <c r="B15" s="37" t="s">
        <v>44</v>
      </c>
      <c r="C15" s="13">
        <v>0</v>
      </c>
      <c r="D15" s="13"/>
      <c r="E15" s="12" t="str">
        <f>IF(C15 + D15 &lt;= 1, "1d4", IF(C15 + D15 = 2, "1d6", IF(C15 + D15 = 3, "1d8", IF(C15 + D15 = 4, "1d10", IF(C15 + D15 = 5, "2d6", IF(C15 + D15 = 6, "2d8", IF(C15 + D15 = 7, "2d10", IF(C15 + D15 = 8, "3d8", IF(C15 + D15 = 9, "3d10", IF(C15 + D15 = 10, "4d8", ))))))))))</f>
        <v>1d4</v>
      </c>
      <c r="G15" s="83" t="str">
        <f>IF(H27 = 0, "GUARD", "GUARD")</f>
        <v>GUARD</v>
      </c>
      <c r="H15" s="85">
        <v>0</v>
      </c>
    </row>
    <row r="16" spans="2:15" ht="15.75" customHeight="1" thickBot="1" x14ac:dyDescent="0.3">
      <c r="B16" s="38" t="s">
        <v>45</v>
      </c>
      <c r="C16" s="11">
        <v>3</v>
      </c>
      <c r="D16" s="11"/>
      <c r="E16" s="10" t="str">
        <f>IF(C16 + D16 &lt;= 1, "1d4", IF(C16 + D16 = 2, "1d6", IF(C16 + D16 = 3, "1d8", IF(C16 + D16 = 4, "1d10", IF(C16 + D16 = 5, "2d6", IF(C16 + D16 = 6, "2d8", IF(C16 + D16 = 7, "2d10", IF(C16 + D16 = 8, "3d8", IF(C16 + D16 = 9, "3d10", IF(C16 + D16 = 10, "4d8", ))))))))))</f>
        <v>1d8</v>
      </c>
      <c r="G16" s="84"/>
      <c r="H16" s="86"/>
    </row>
    <row r="17" spans="2:10" ht="15" customHeight="1" x14ac:dyDescent="0.25">
      <c r="B17" s="132" t="s">
        <v>53</v>
      </c>
      <c r="C17" s="133"/>
      <c r="D17" s="133"/>
      <c r="E17" s="134"/>
      <c r="G17" s="87" t="str">
        <f>IF(H27 = 0, "DODGE", "EVASÃO")</f>
        <v>DODGE</v>
      </c>
      <c r="H17" s="89">
        <v>-3</v>
      </c>
    </row>
    <row r="18" spans="2:10" ht="15.75" customHeight="1" thickBot="1" x14ac:dyDescent="0.3">
      <c r="B18" s="39" t="s">
        <v>46</v>
      </c>
      <c r="C18" s="7"/>
      <c r="D18" s="7"/>
      <c r="E18" s="6" t="str">
        <f t="shared" ref="E18:E25" si="0">IF(C18 + D18 &lt;= 1, "1d4", IF(C18 + D18 = 2, "1d6", IF(C18 + D18 = 3, "1d8", IF(C18 + D18 = 4, "1d10", IF(C18 + D18 = 5, "2d6", IF(C18 + D18 = 6, "2d8", IF(C18 + D18 = 7, "2d10", IF(C18 + D18 = 8, "3d8", IF(C18 + D18 = 9, "3d10", IF(C18 + D18 = 10, "4d8", ))))))))))</f>
        <v>1d4</v>
      </c>
      <c r="G18" s="88"/>
      <c r="H18" s="90"/>
    </row>
    <row r="19" spans="2:10" ht="15.75" thickBot="1" x14ac:dyDescent="0.3">
      <c r="B19" s="40" t="s">
        <v>47</v>
      </c>
      <c r="C19" s="9"/>
      <c r="D19" s="9"/>
      <c r="E19" s="8" t="str">
        <f t="shared" si="0"/>
        <v>1d4</v>
      </c>
    </row>
    <row r="20" spans="2:10" x14ac:dyDescent="0.25">
      <c r="B20" s="39" t="s">
        <v>48</v>
      </c>
      <c r="C20" s="7">
        <v>3</v>
      </c>
      <c r="D20" s="7">
        <v>1</v>
      </c>
      <c r="E20" s="6" t="str">
        <f t="shared" si="0"/>
        <v>1d10</v>
      </c>
      <c r="G20" s="106" t="str">
        <f>IF(Q17 = 0, "Defense Calculation", "Cálculo de Defesa")</f>
        <v>Defense Calculation</v>
      </c>
      <c r="H20" s="107"/>
      <c r="I20" s="107"/>
      <c r="J20" s="108"/>
    </row>
    <row r="21" spans="2:10" x14ac:dyDescent="0.25">
      <c r="B21" s="40" t="s">
        <v>49</v>
      </c>
      <c r="C21" s="9"/>
      <c r="D21" s="9"/>
      <c r="E21" s="8" t="str">
        <f t="shared" si="0"/>
        <v>1d4</v>
      </c>
      <c r="G21" s="46" t="str">
        <f>IF(Q17 = 0, "Pre-Defense", "Antes da Defesa")</f>
        <v>Pre-Defense</v>
      </c>
      <c r="H21" s="109" t="str">
        <f>IF(Q17 = 0, "Post-Defense", "Pós-Defesa")</f>
        <v>Post-Defense</v>
      </c>
      <c r="I21" s="109"/>
      <c r="J21" s="110"/>
    </row>
    <row r="22" spans="2:10" ht="15" customHeight="1" x14ac:dyDescent="0.25">
      <c r="B22" s="39" t="s">
        <v>50</v>
      </c>
      <c r="C22" s="7"/>
      <c r="D22" s="7"/>
      <c r="E22" s="6" t="str">
        <f t="shared" si="0"/>
        <v>1d4</v>
      </c>
      <c r="G22" s="100"/>
      <c r="H22" s="102" t="str">
        <f>IF(G22 = "", "", IF(H17 &lt; 0, G22 - (H15), IF(ROUNDUP(G22 * 10/(H17+10) - (H15), 0) &gt;= 0, ROUNDUP(G22 * 10/(H17+10) - (H15), 0), 0)))</f>
        <v/>
      </c>
      <c r="I22" s="102"/>
      <c r="J22" s="103"/>
    </row>
    <row r="23" spans="2:10" ht="15.75" customHeight="1" thickBot="1" x14ac:dyDescent="0.3">
      <c r="B23" s="40" t="s">
        <v>27</v>
      </c>
      <c r="C23" s="9"/>
      <c r="D23" s="9"/>
      <c r="E23" s="8" t="str">
        <f t="shared" si="0"/>
        <v>1d4</v>
      </c>
      <c r="G23" s="101"/>
      <c r="H23" s="104"/>
      <c r="I23" s="104"/>
      <c r="J23" s="105"/>
    </row>
    <row r="24" spans="2:10" x14ac:dyDescent="0.25">
      <c r="B24" s="39" t="s">
        <v>51</v>
      </c>
      <c r="C24" s="7"/>
      <c r="D24" s="7"/>
      <c r="E24" s="6" t="str">
        <f t="shared" si="0"/>
        <v>1d4</v>
      </c>
    </row>
    <row r="25" spans="2:10" ht="15.75" thickBot="1" x14ac:dyDescent="0.3">
      <c r="B25" s="41" t="s">
        <v>52</v>
      </c>
      <c r="C25" s="5"/>
      <c r="D25" s="5"/>
      <c r="E25" s="4" t="str">
        <f t="shared" si="0"/>
        <v>1d4</v>
      </c>
    </row>
    <row r="26" spans="2:10" ht="15.75" thickTop="1" x14ac:dyDescent="0.25"/>
  </sheetData>
  <mergeCells count="27">
    <mergeCell ref="H21:J21"/>
    <mergeCell ref="G22:G23"/>
    <mergeCell ref="H22:J23"/>
    <mergeCell ref="G15:G16"/>
    <mergeCell ref="H15:H16"/>
    <mergeCell ref="B17:E17"/>
    <mergeCell ref="G17:G18"/>
    <mergeCell ref="H17:H18"/>
    <mergeCell ref="G20:J20"/>
    <mergeCell ref="G7:G8"/>
    <mergeCell ref="H7:J8"/>
    <mergeCell ref="B8:E8"/>
    <mergeCell ref="G10:G11"/>
    <mergeCell ref="H10:H11"/>
    <mergeCell ref="G12:G13"/>
    <mergeCell ref="H12:H13"/>
    <mergeCell ref="B13:E13"/>
    <mergeCell ref="B2:E2"/>
    <mergeCell ref="G2:G3"/>
    <mergeCell ref="H2:H3"/>
    <mergeCell ref="I2:I3"/>
    <mergeCell ref="J2:J3"/>
    <mergeCell ref="B4:E4"/>
    <mergeCell ref="G4:G5"/>
    <mergeCell ref="H4:H5"/>
    <mergeCell ref="I4:I5"/>
    <mergeCell ref="J4:J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R26"/>
  <sheetViews>
    <sheetView showGridLines="0" workbookViewId="0">
      <selection activeCell="C16" sqref="C16"/>
    </sheetView>
  </sheetViews>
  <sheetFormatPr defaultRowHeight="15" x14ac:dyDescent="0.25"/>
  <cols>
    <col min="1" max="1" width="2.28515625" customWidth="1"/>
    <col min="2" max="2" width="10.7109375" bestFit="1" customWidth="1"/>
    <col min="6" max="6" width="3.140625" customWidth="1"/>
    <col min="7" max="7" width="18.140625" bestFit="1" customWidth="1"/>
    <col min="8" max="8" width="13.42578125" customWidth="1"/>
    <col min="9" max="9" width="2.42578125" customWidth="1"/>
    <col min="10" max="10" width="15.5703125" customWidth="1"/>
    <col min="11" max="11" width="3.7109375" customWidth="1"/>
    <col min="12" max="12" width="19.85546875" bestFit="1" customWidth="1"/>
    <col min="13" max="13" width="59.140625" customWidth="1"/>
    <col min="14" max="15" width="11" customWidth="1"/>
  </cols>
  <sheetData>
    <row r="1" spans="2:18" ht="10.5" customHeight="1" thickBot="1" x14ac:dyDescent="0.3"/>
    <row r="2" spans="2:18" ht="15.75" customHeight="1" thickTop="1" thickBot="1" x14ac:dyDescent="0.35">
      <c r="B2" s="91" t="s">
        <v>34</v>
      </c>
      <c r="C2" s="92"/>
      <c r="D2" s="92"/>
      <c r="E2" s="93"/>
      <c r="G2" s="94" t="s">
        <v>22</v>
      </c>
      <c r="H2" s="145">
        <v>55</v>
      </c>
      <c r="I2" s="96" t="s">
        <v>23</v>
      </c>
      <c r="J2" s="147">
        <v>55</v>
      </c>
      <c r="L2" s="30" t="s">
        <v>29</v>
      </c>
      <c r="M2" s="30" t="s">
        <v>30</v>
      </c>
      <c r="N2" s="30" t="s">
        <v>7</v>
      </c>
      <c r="O2" s="47" t="s">
        <v>31</v>
      </c>
    </row>
    <row r="3" spans="2:18" ht="30.75" thickBot="1" x14ac:dyDescent="0.3">
      <c r="B3" s="29" t="s">
        <v>1</v>
      </c>
      <c r="C3" s="28" t="s">
        <v>35</v>
      </c>
      <c r="D3" s="28" t="s">
        <v>36</v>
      </c>
      <c r="E3" s="27" t="s">
        <v>6</v>
      </c>
      <c r="G3" s="95"/>
      <c r="H3" s="146"/>
      <c r="I3" s="97"/>
      <c r="J3" s="148"/>
      <c r="L3" s="44" t="s">
        <v>59</v>
      </c>
      <c r="M3" s="49" t="s">
        <v>99</v>
      </c>
      <c r="N3" s="42" t="s">
        <v>28</v>
      </c>
      <c r="O3" s="42" t="s">
        <v>28</v>
      </c>
      <c r="Q3" s="149" t="s">
        <v>93</v>
      </c>
      <c r="R3" s="150"/>
    </row>
    <row r="4" spans="2:18" ht="30" customHeight="1" x14ac:dyDescent="0.25">
      <c r="B4" s="111" t="s">
        <v>37</v>
      </c>
      <c r="C4" s="112"/>
      <c r="D4" s="112"/>
      <c r="E4" s="113"/>
      <c r="G4" s="114" t="s">
        <v>24</v>
      </c>
      <c r="H4" s="116">
        <v>0</v>
      </c>
      <c r="I4" s="116" t="s">
        <v>23</v>
      </c>
      <c r="J4" s="118">
        <v>0</v>
      </c>
      <c r="L4" s="44" t="s">
        <v>62</v>
      </c>
      <c r="M4" s="48" t="s">
        <v>63</v>
      </c>
      <c r="N4" s="42" t="s">
        <v>28</v>
      </c>
      <c r="O4" s="42" t="s">
        <v>28</v>
      </c>
      <c r="Q4" s="52" t="s">
        <v>94</v>
      </c>
      <c r="R4" s="53">
        <v>17</v>
      </c>
    </row>
    <row r="5" spans="2:18" ht="30.75" thickBot="1" x14ac:dyDescent="0.3">
      <c r="B5" s="32" t="s">
        <v>26</v>
      </c>
      <c r="C5" s="23">
        <v>4</v>
      </c>
      <c r="D5" s="23"/>
      <c r="E5" s="26" t="str">
        <f>IF(C5 + D5 &lt;= 1, "1d4", IF(C5 + D5 = 2, "1d6", IF(C5 + D5 = 3, "1d8", IF(C5 + D5 = 4, "1d10", IF(C5 + D5 = 5, "2d6", IF(C5 + D5 = 6, "2d8", IF(C5 + D5 = 7, "2d10", IF(C5 + D5 = 8, "3d8", IF(C5 + D5 = 9, "3d10", IF(C5 + D5 = 10, "4d8", ))))))))))</f>
        <v>1d10</v>
      </c>
      <c r="G5" s="115"/>
      <c r="H5" s="117"/>
      <c r="I5" s="117"/>
      <c r="J5" s="119"/>
      <c r="L5" s="44" t="s">
        <v>69</v>
      </c>
      <c r="M5" s="48" t="s">
        <v>100</v>
      </c>
      <c r="N5" s="42" t="s">
        <v>28</v>
      </c>
      <c r="O5" s="42" t="s">
        <v>28</v>
      </c>
      <c r="Q5" s="54" t="s">
        <v>95</v>
      </c>
      <c r="R5" s="53">
        <v>22</v>
      </c>
    </row>
    <row r="6" spans="2:18" ht="15.75" thickBot="1" x14ac:dyDescent="0.3">
      <c r="B6" s="31" t="s">
        <v>32</v>
      </c>
      <c r="C6" s="25">
        <v>1</v>
      </c>
      <c r="D6" s="25"/>
      <c r="E6" s="24" t="str">
        <f>IF(C6 + D6 &lt;= 1, "1d4", IF(C6 + D6 = 2, "1d6", IF(C6 + D6 = 3, "1d8", IF(C6 + D6 = 4, "1d10", IF(C6 + D6 = 5, "2d6", IF(C6 + D6 = 6, "2d8", IF(C6 + D6 = 7, "2d10", IF(C6 + D6 = 8, "3d8", IF(C6 + D6 = 9, "3d10", IF(C6 + D6 = 10, "4d8", ))))))))))</f>
        <v>1d4</v>
      </c>
      <c r="L6" s="44" t="s">
        <v>67</v>
      </c>
      <c r="M6" s="44" t="s">
        <v>68</v>
      </c>
      <c r="N6" s="42" t="s">
        <v>28</v>
      </c>
      <c r="O6" s="42" t="s">
        <v>28</v>
      </c>
      <c r="Q6" s="55" t="s">
        <v>96</v>
      </c>
      <c r="R6" s="56">
        <v>28</v>
      </c>
    </row>
    <row r="7" spans="2:18" ht="15.75" customHeight="1" thickBot="1" x14ac:dyDescent="0.3">
      <c r="B7" s="33" t="s">
        <v>33</v>
      </c>
      <c r="C7" s="22"/>
      <c r="D7" s="22"/>
      <c r="E7" s="21" t="str">
        <f>IF(C7 + D7 &lt;= 1, "1d4", IF(C7 + D7 = 2, "1d6", IF(C7 + D7 = 3, "1d8", IF(C7 + D7 = 4, "1d10", IF(C7 + D7 = 5, "2d6", IF(C7 + D7 = 6, "2d8", IF(C7 + D7 = 7, "2d10", IF(C7 + D7 = 8, "3d8", IF(C7 + D7 = 9, "3d10", IF(C7 + D7 = 10, "4d8", ))))))))))</f>
        <v>1d4</v>
      </c>
      <c r="G7" s="120" t="s">
        <v>25</v>
      </c>
      <c r="H7" s="122" t="s">
        <v>98</v>
      </c>
      <c r="I7" s="122"/>
      <c r="J7" s="123"/>
      <c r="L7" s="44"/>
      <c r="M7" s="42"/>
      <c r="N7" s="42"/>
      <c r="O7" s="42"/>
    </row>
    <row r="8" spans="2:18" ht="15.75" customHeight="1" thickBot="1" x14ac:dyDescent="0.3">
      <c r="B8" s="126" t="s">
        <v>38</v>
      </c>
      <c r="C8" s="127"/>
      <c r="D8" s="127"/>
      <c r="E8" s="128"/>
      <c r="G8" s="121"/>
      <c r="H8" s="124"/>
      <c r="I8" s="124"/>
      <c r="J8" s="125"/>
      <c r="L8" s="44"/>
      <c r="M8" s="42"/>
      <c r="N8" s="42"/>
      <c r="O8" s="42"/>
    </row>
    <row r="9" spans="2:18" ht="15.75" thickBot="1" x14ac:dyDescent="0.3">
      <c r="B9" s="20" t="str">
        <f>IF(L24 = 0,"Learning","Aprendizado")</f>
        <v>Learning</v>
      </c>
      <c r="C9" s="19"/>
      <c r="D9" s="19"/>
      <c r="E9" s="18" t="str">
        <f>IF(C9 + D9 &lt;= 1, "1d4", IF(C9 + D9 = 2, "1d6", IF(C9 + D9 = 3, "1d8", IF(C9 + D9 = 4, "1d10", IF(C9 + D9 = 5, "2d6", IF(C9 + D9 = 6, "2d8", IF(C9 + D9 = 7, "2d10", IF(C9 + D9 = 8, "3d8", IF(C9 + D9 = 9, "3d10", IF(C9 + D9 = 10, "4d8", ))))))))))</f>
        <v>1d4</v>
      </c>
      <c r="L9" s="44"/>
      <c r="M9" s="42"/>
      <c r="N9" s="42"/>
      <c r="O9" s="42"/>
    </row>
    <row r="10" spans="2:18" ht="15" customHeight="1" x14ac:dyDescent="0.25">
      <c r="B10" s="34" t="s">
        <v>39</v>
      </c>
      <c r="C10" s="17"/>
      <c r="D10" s="17"/>
      <c r="E10" s="16" t="str">
        <f>IF(C10 + D10 &lt;= 1, "1d4", IF(C10 + D10 = 2, "1d6", IF(C10 + D10 = 3, "1d8", IF(C10 + D10 = 4, "1d10", IF(C10 + D10 = 5, "2d6", IF(C10 + D10 = 6, "2d8", IF(C10 + D10 = 7, "2d10", IF(C10 + D10 = 8, "3d8", IF(C10 + D10 = 9, "3d10", IF(C10 + D10 = 10, "4d8", ))))))))))</f>
        <v>1d4</v>
      </c>
      <c r="G10" s="135" t="s">
        <v>57</v>
      </c>
      <c r="H10" s="136">
        <v>4</v>
      </c>
      <c r="L10" s="44"/>
      <c r="M10" s="42"/>
      <c r="N10" s="42"/>
      <c r="O10" s="42"/>
    </row>
    <row r="11" spans="2:18" ht="15" customHeight="1" x14ac:dyDescent="0.25">
      <c r="B11" s="35" t="s">
        <v>40</v>
      </c>
      <c r="C11" s="19">
        <v>3</v>
      </c>
      <c r="D11" s="19"/>
      <c r="E11" s="18" t="str">
        <f>IF(C11 + D11 &lt;= 1, "1d4", IF(C11 + D11 = 2, "1d6", IF(C11 + D11 = 3, "1d8", IF(C11 + D11 = 4, "1d10", IF(C11 + D11 = 5, "2d6", IF(C11 + D11 = 6, "2d8", IF(C11 + D11 = 7, "2d10", IF(C11 + D11 = 8, "3d8", IF(C11 + D11 = 9, "3d10", IF(C11 + D11 = 10, "4d8", ))))))))))</f>
        <v>1d8</v>
      </c>
      <c r="G11" s="79"/>
      <c r="H11" s="81"/>
      <c r="L11" s="44"/>
      <c r="M11" s="42"/>
      <c r="N11" s="42"/>
      <c r="O11" s="42"/>
    </row>
    <row r="12" spans="2:18" ht="15.75" customHeight="1" thickBot="1" x14ac:dyDescent="0.3">
      <c r="B12" s="34" t="s">
        <v>41</v>
      </c>
      <c r="C12" s="17">
        <v>1</v>
      </c>
      <c r="D12" s="17"/>
      <c r="E12" s="16" t="str">
        <f>IF(C12 + D12 &lt;= 1, "1d4", IF(C12 + D12 = 2, "1d6", IF(C12 + D12 = 3, "1d8", IF(C12 + D12 = 4, "1d10", IF(C12 + D12 = 5, "2d6", IF(C12 + D12 = 6, "2d8", IF(C12 + D12 = 7, "2d10", IF(C12 + D12 = 8, "3d8", IF(C12 + D12 = 9, "3d10", IF(C12 + D12 = 10, "4d8", ))))))))))</f>
        <v>1d4</v>
      </c>
      <c r="G12" s="79" t="s">
        <v>58</v>
      </c>
      <c r="H12" s="81">
        <v>4</v>
      </c>
      <c r="L12" s="44"/>
      <c r="M12" s="42"/>
      <c r="N12" s="42"/>
      <c r="O12" s="42"/>
    </row>
    <row r="13" spans="2:18" ht="15.75" customHeight="1" thickBot="1" x14ac:dyDescent="0.3">
      <c r="B13" s="129" t="s">
        <v>42</v>
      </c>
      <c r="C13" s="130"/>
      <c r="D13" s="130"/>
      <c r="E13" s="131"/>
      <c r="G13" s="80"/>
      <c r="H13" s="82"/>
    </row>
    <row r="14" spans="2:18" ht="15.75" thickBot="1" x14ac:dyDescent="0.3">
      <c r="B14" s="36" t="s">
        <v>43</v>
      </c>
      <c r="C14" s="15">
        <v>7</v>
      </c>
      <c r="D14" s="15"/>
      <c r="E14" s="14" t="str">
        <f>IF(C14 + D14 &lt;= 1, "1d4", IF(C14 + D14 = 2, "1d6", IF(C14 + D14 = 3, "1d8", IF(C14 + D14 = 4, "1d10", IF(C14 + D14 = 5, "2d6", IF(C14 + D14 = 6, "2d8", IF(C14 + D14 = 7, "2d10", IF(C14 + D14 = 8, "3d8", IF(C14 + D14 = 9, "3d10", IF(C14 + D14 = 10, "4d8", ))))))))))</f>
        <v>2d10</v>
      </c>
    </row>
    <row r="15" spans="2:18" ht="15" customHeight="1" x14ac:dyDescent="0.25">
      <c r="B15" s="37" t="s">
        <v>44</v>
      </c>
      <c r="C15" s="13">
        <v>2</v>
      </c>
      <c r="D15" s="13"/>
      <c r="E15" s="12" t="str">
        <f>IF(C15 + D15 &lt;= 1, "1d4", IF(C15 + D15 = 2, "1d6", IF(C15 + D15 = 3, "1d8", IF(C15 + D15 = 4, "1d10", IF(C15 + D15 = 5, "2d6", IF(C15 + D15 = 6, "2d8", IF(C15 + D15 = 7, "2d10", IF(C15 + D15 = 8, "3d8", IF(C15 + D15 = 9, "3d10", IF(C15 + D15 = 10, "4d8", ))))))))))</f>
        <v>1d6</v>
      </c>
      <c r="G15" s="83" t="str">
        <f>IF(H27 = 0, "GUARD", "GUARD")</f>
        <v>GUARD</v>
      </c>
      <c r="H15" s="85"/>
    </row>
    <row r="16" spans="2:18" ht="15.75" customHeight="1" thickBot="1" x14ac:dyDescent="0.3">
      <c r="B16" s="38" t="s">
        <v>45</v>
      </c>
      <c r="C16" s="11"/>
      <c r="D16" s="11"/>
      <c r="E16" s="10" t="str">
        <f>IF(C16 + D16 &lt;= 1, "1d4", IF(C16 + D16 = 2, "1d6", IF(C16 + D16 = 3, "1d8", IF(C16 + D16 = 4, "1d10", IF(C16 + D16 = 5, "2d6", IF(C16 + D16 = 6, "2d8", IF(C16 + D16 = 7, "2d10", IF(C16 + D16 = 8, "3d8", IF(C16 + D16 = 9, "3d10", IF(C16 + D16 = 10, "4d8", ))))))))))</f>
        <v>1d4</v>
      </c>
      <c r="G16" s="84"/>
      <c r="H16" s="86"/>
    </row>
    <row r="17" spans="2:10" ht="15" customHeight="1" x14ac:dyDescent="0.25">
      <c r="B17" s="132" t="s">
        <v>53</v>
      </c>
      <c r="C17" s="133"/>
      <c r="D17" s="133"/>
      <c r="E17" s="134"/>
      <c r="G17" s="87" t="str">
        <f>IF(H27 = 0, "DODGE", "EVASÃO")</f>
        <v>DODGE</v>
      </c>
      <c r="H17" s="89">
        <v>3</v>
      </c>
    </row>
    <row r="18" spans="2:10" ht="15.75" customHeight="1" thickBot="1" x14ac:dyDescent="0.3">
      <c r="B18" s="39" t="s">
        <v>46</v>
      </c>
      <c r="C18" s="7"/>
      <c r="D18" s="7"/>
      <c r="E18" s="6" t="str">
        <f t="shared" ref="E18:E25" si="0">IF(C18 + D18 &lt;= 1, "1d4", IF(C18 + D18 = 2, "1d6", IF(C18 + D18 = 3, "1d8", IF(C18 + D18 = 4, "1d10", IF(C18 + D18 = 5, "2d6", IF(C18 + D18 = 6, "2d8", IF(C18 + D18 = 7, "2d10", IF(C18 + D18 = 8, "3d8", IF(C18 + D18 = 9, "3d10", IF(C18 + D18 = 10, "4d8", ))))))))))</f>
        <v>1d4</v>
      </c>
      <c r="G18" s="88"/>
      <c r="H18" s="90"/>
    </row>
    <row r="19" spans="2:10" ht="15.75" thickBot="1" x14ac:dyDescent="0.3">
      <c r="B19" s="40" t="s">
        <v>47</v>
      </c>
      <c r="C19" s="9"/>
      <c r="D19" s="9"/>
      <c r="E19" s="8" t="str">
        <f t="shared" si="0"/>
        <v>1d4</v>
      </c>
    </row>
    <row r="20" spans="2:10" x14ac:dyDescent="0.25">
      <c r="B20" s="39" t="s">
        <v>48</v>
      </c>
      <c r="C20" s="7">
        <v>2</v>
      </c>
      <c r="D20" s="7"/>
      <c r="E20" s="6" t="str">
        <f t="shared" si="0"/>
        <v>1d6</v>
      </c>
      <c r="G20" s="106" t="str">
        <f>IF(Q17 = 0, "Defense Calculation", "Cálculo de Defesa")</f>
        <v>Defense Calculation</v>
      </c>
      <c r="H20" s="107"/>
      <c r="I20" s="107"/>
      <c r="J20" s="108"/>
    </row>
    <row r="21" spans="2:10" x14ac:dyDescent="0.25">
      <c r="B21" s="40" t="s">
        <v>49</v>
      </c>
      <c r="C21" s="9"/>
      <c r="D21" s="9"/>
      <c r="E21" s="8" t="str">
        <f t="shared" si="0"/>
        <v>1d4</v>
      </c>
      <c r="G21" s="46" t="str">
        <f>IF(Q17 = 0, "Pre-Defense", "Antes da Defesa")</f>
        <v>Pre-Defense</v>
      </c>
      <c r="H21" s="109" t="str">
        <f>IF(Q17 = 0, "Post-Defense", "Pós-Defesa")</f>
        <v>Post-Defense</v>
      </c>
      <c r="I21" s="109"/>
      <c r="J21" s="110"/>
    </row>
    <row r="22" spans="2:10" ht="15" customHeight="1" x14ac:dyDescent="0.25">
      <c r="B22" s="39" t="s">
        <v>50</v>
      </c>
      <c r="C22" s="7"/>
      <c r="D22" s="7"/>
      <c r="E22" s="6" t="str">
        <f t="shared" si="0"/>
        <v>1d4</v>
      </c>
      <c r="G22" s="100"/>
      <c r="H22" s="102" t="str">
        <f>IF(G22 = "", "", IF(H17 &lt; 0, G22 - (H15), IF(ROUNDUP(G22 * 10/(H17+10) - (H15), 0) &gt;= 0, ROUNDUP(G22 * 10/(H17+10) - (H15), 0), 0)))</f>
        <v/>
      </c>
      <c r="I22" s="102"/>
      <c r="J22" s="103"/>
    </row>
    <row r="23" spans="2:10" ht="15.75" customHeight="1" thickBot="1" x14ac:dyDescent="0.3">
      <c r="B23" s="40" t="s">
        <v>27</v>
      </c>
      <c r="C23" s="9"/>
      <c r="D23" s="9"/>
      <c r="E23" s="8" t="str">
        <f t="shared" si="0"/>
        <v>1d4</v>
      </c>
      <c r="G23" s="101"/>
      <c r="H23" s="104"/>
      <c r="I23" s="104"/>
      <c r="J23" s="105"/>
    </row>
    <row r="24" spans="2:10" x14ac:dyDescent="0.25">
      <c r="B24" s="39" t="s">
        <v>51</v>
      </c>
      <c r="C24" s="7"/>
      <c r="D24" s="7"/>
      <c r="E24" s="6" t="str">
        <f t="shared" si="0"/>
        <v>1d4</v>
      </c>
    </row>
    <row r="25" spans="2:10" ht="15.75" thickBot="1" x14ac:dyDescent="0.3">
      <c r="B25" s="41" t="s">
        <v>52</v>
      </c>
      <c r="C25" s="5"/>
      <c r="D25" s="5"/>
      <c r="E25" s="4" t="str">
        <f t="shared" si="0"/>
        <v>1d4</v>
      </c>
    </row>
    <row r="26" spans="2:10" ht="15.75" thickTop="1" x14ac:dyDescent="0.25"/>
  </sheetData>
  <mergeCells count="28">
    <mergeCell ref="Q3:R3"/>
    <mergeCell ref="H21:J21"/>
    <mergeCell ref="G22:G23"/>
    <mergeCell ref="H22:J23"/>
    <mergeCell ref="G15:G16"/>
    <mergeCell ref="H15:H16"/>
    <mergeCell ref="B17:E17"/>
    <mergeCell ref="G17:G18"/>
    <mergeCell ref="H17:H18"/>
    <mergeCell ref="G20:J20"/>
    <mergeCell ref="G7:G8"/>
    <mergeCell ref="H7:J8"/>
    <mergeCell ref="B8:E8"/>
    <mergeCell ref="G10:G11"/>
    <mergeCell ref="H10:H11"/>
    <mergeCell ref="G12:G13"/>
    <mergeCell ref="H12:H13"/>
    <mergeCell ref="B13:E13"/>
    <mergeCell ref="B2:E2"/>
    <mergeCell ref="G2:G3"/>
    <mergeCell ref="H2:H3"/>
    <mergeCell ref="I2:I3"/>
    <mergeCell ref="J2:J3"/>
    <mergeCell ref="B4:E4"/>
    <mergeCell ref="G4:G5"/>
    <mergeCell ref="H4:H5"/>
    <mergeCell ref="I4:I5"/>
    <mergeCell ref="J4:J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S26"/>
  <sheetViews>
    <sheetView showGridLines="0" workbookViewId="0">
      <selection activeCell="B22" sqref="B22"/>
    </sheetView>
  </sheetViews>
  <sheetFormatPr defaultRowHeight="15" x14ac:dyDescent="0.25"/>
  <cols>
    <col min="1" max="1" width="5.42578125" customWidth="1"/>
    <col min="2" max="2" width="10.7109375" bestFit="1" customWidth="1"/>
    <col min="6" max="6" width="3.140625" customWidth="1"/>
    <col min="7" max="7" width="18.140625" bestFit="1" customWidth="1"/>
    <col min="8" max="8" width="10.42578125" customWidth="1"/>
    <col min="9" max="9" width="2.42578125" customWidth="1"/>
    <col min="10" max="10" width="11" customWidth="1"/>
    <col min="12" max="12" width="19.85546875" bestFit="1" customWidth="1"/>
    <col min="13" max="13" width="48.7109375" bestFit="1" customWidth="1"/>
    <col min="14" max="15" width="11" customWidth="1"/>
    <col min="18" max="19" width="11.5703125" bestFit="1" customWidth="1"/>
  </cols>
  <sheetData>
    <row r="1" spans="2:19" ht="15.75" thickBot="1" x14ac:dyDescent="0.3"/>
    <row r="2" spans="2:19" ht="15.75" customHeight="1" thickTop="1" x14ac:dyDescent="0.3">
      <c r="B2" s="91" t="s">
        <v>34</v>
      </c>
      <c r="C2" s="92"/>
      <c r="D2" s="92"/>
      <c r="E2" s="93"/>
      <c r="G2" s="94" t="s">
        <v>22</v>
      </c>
      <c r="H2" s="141">
        <v>40</v>
      </c>
      <c r="I2" s="96" t="s">
        <v>23</v>
      </c>
      <c r="J2" s="143">
        <v>40</v>
      </c>
      <c r="L2" s="30" t="s">
        <v>29</v>
      </c>
      <c r="M2" s="30" t="s">
        <v>30</v>
      </c>
      <c r="N2" s="30" t="s">
        <v>7</v>
      </c>
      <c r="O2" s="50" t="s">
        <v>31</v>
      </c>
    </row>
    <row r="3" spans="2:19" ht="15.75" customHeight="1" thickBot="1" x14ac:dyDescent="0.3">
      <c r="B3" s="29" t="s">
        <v>1</v>
      </c>
      <c r="C3" s="28" t="s">
        <v>35</v>
      </c>
      <c r="D3" s="28" t="s">
        <v>36</v>
      </c>
      <c r="E3" s="27" t="s">
        <v>6</v>
      </c>
      <c r="G3" s="95"/>
      <c r="H3" s="142"/>
      <c r="I3" s="97"/>
      <c r="J3" s="144"/>
      <c r="L3" s="44" t="s">
        <v>80</v>
      </c>
      <c r="M3" s="49" t="s">
        <v>61</v>
      </c>
      <c r="N3" s="42" t="s">
        <v>28</v>
      </c>
      <c r="O3" s="42" t="s">
        <v>28</v>
      </c>
      <c r="Q3" s="155" t="s">
        <v>74</v>
      </c>
      <c r="R3" s="155"/>
      <c r="S3" s="155"/>
    </row>
    <row r="4" spans="2:19" ht="30" customHeight="1" x14ac:dyDescent="0.25">
      <c r="B4" s="111" t="s">
        <v>37</v>
      </c>
      <c r="C4" s="112"/>
      <c r="D4" s="112"/>
      <c r="E4" s="113"/>
      <c r="G4" s="114" t="s">
        <v>24</v>
      </c>
      <c r="H4" s="151">
        <v>5</v>
      </c>
      <c r="I4" s="116" t="s">
        <v>23</v>
      </c>
      <c r="J4" s="153">
        <v>7</v>
      </c>
      <c r="L4" s="44" t="s">
        <v>70</v>
      </c>
      <c r="M4" s="48" t="s">
        <v>79</v>
      </c>
      <c r="N4" s="42" t="s">
        <v>48</v>
      </c>
      <c r="O4" s="42" t="s">
        <v>71</v>
      </c>
      <c r="R4" t="s">
        <v>76</v>
      </c>
      <c r="S4" s="51" t="s">
        <v>75</v>
      </c>
    </row>
    <row r="5" spans="2:19" ht="30.75" thickBot="1" x14ac:dyDescent="0.3">
      <c r="B5" s="32" t="s">
        <v>26</v>
      </c>
      <c r="C5" s="23">
        <v>0</v>
      </c>
      <c r="D5" s="23"/>
      <c r="E5" s="26" t="str">
        <f>IF(C5 + D5 &lt;= 0, "1d2", IF(C5 + D5 = 1, "1d4", IF(C5 + D5 = 2, "1d6", IF(C5 + D5 = 3, "1d8", IF(C5 + D5 = 4, "1d10", IF(C5 + D5 = 5, "2d6", IF(C5 + D5 = 6, "2d8", IF(C5 + D5 = 7, "2d10", IF(C5 + D5 = 8, "3d8", IF(C5 + D5 = 9, "3d10", IF(C5 + D5 = 10, "4d8", )))))))))))</f>
        <v>1d2</v>
      </c>
      <c r="G5" s="115"/>
      <c r="H5" s="152"/>
      <c r="I5" s="117"/>
      <c r="J5" s="154"/>
      <c r="L5" s="44" t="s">
        <v>77</v>
      </c>
      <c r="M5" s="48" t="s">
        <v>91</v>
      </c>
      <c r="N5" s="42" t="s">
        <v>48</v>
      </c>
      <c r="O5" s="42" t="s">
        <v>78</v>
      </c>
      <c r="Q5" t="s">
        <v>5</v>
      </c>
    </row>
    <row r="6" spans="2:19" ht="15.75" thickBot="1" x14ac:dyDescent="0.3">
      <c r="B6" s="31" t="s">
        <v>32</v>
      </c>
      <c r="C6" s="25">
        <v>0</v>
      </c>
      <c r="D6" s="25"/>
      <c r="E6" s="24" t="str">
        <f t="shared" ref="E6:E7" si="0">IF(C6 + D6 &lt;= 0, "1d2", IF(C6 + D6 = 1, "1d4", IF(C6 + D6 = 2, "1d6", IF(C6 + D6 = 3, "1d8", IF(C6 + D6 = 4, "1d10", IF(C6 + D6 = 5, "2d6", IF(C6 + D6 = 6, "2d8", IF(C6 + D6 = 7, "2d10", IF(C6 + D6 = 8, "3d8", IF(C6 + D6 = 9, "3d10", IF(C6 + D6 = 10, "4d8", )))))))))))</f>
        <v>1d2</v>
      </c>
      <c r="L6" s="44" t="s">
        <v>81</v>
      </c>
      <c r="M6" s="48" t="s">
        <v>82</v>
      </c>
      <c r="N6" s="42" t="s">
        <v>28</v>
      </c>
      <c r="O6" s="42" t="s">
        <v>28</v>
      </c>
      <c r="Q6" t="s">
        <v>60</v>
      </c>
      <c r="R6">
        <v>8</v>
      </c>
      <c r="S6">
        <v>10</v>
      </c>
    </row>
    <row r="7" spans="2:19" ht="15.75" customHeight="1" thickBot="1" x14ac:dyDescent="0.3">
      <c r="B7" s="33" t="s">
        <v>33</v>
      </c>
      <c r="C7" s="22">
        <v>0</v>
      </c>
      <c r="D7" s="22"/>
      <c r="E7" s="21" t="str">
        <f t="shared" si="0"/>
        <v>1d2</v>
      </c>
      <c r="G7" s="120" t="s">
        <v>25</v>
      </c>
      <c r="H7" s="122" t="s">
        <v>48</v>
      </c>
      <c r="I7" s="122"/>
      <c r="J7" s="123"/>
      <c r="L7" s="44"/>
      <c r="M7" s="48"/>
      <c r="N7" s="42"/>
      <c r="O7" s="42"/>
      <c r="Q7" t="s">
        <v>72</v>
      </c>
    </row>
    <row r="8" spans="2:19" ht="15.75" customHeight="1" thickBot="1" x14ac:dyDescent="0.3">
      <c r="B8" s="126" t="s">
        <v>38</v>
      </c>
      <c r="C8" s="127"/>
      <c r="D8" s="127"/>
      <c r="E8" s="128"/>
      <c r="G8" s="121"/>
      <c r="H8" s="124"/>
      <c r="I8" s="124"/>
      <c r="J8" s="125"/>
      <c r="L8" s="44"/>
      <c r="M8" s="42"/>
      <c r="N8" s="42"/>
      <c r="O8" s="42"/>
      <c r="Q8" t="s">
        <v>73</v>
      </c>
    </row>
    <row r="9" spans="2:19" ht="15.75" thickBot="1" x14ac:dyDescent="0.3">
      <c r="B9" s="20" t="str">
        <f>IF(L24 = 0,"Learning","Aprendizado")</f>
        <v>Learning</v>
      </c>
      <c r="C9" s="19">
        <v>5</v>
      </c>
      <c r="D9" s="19"/>
      <c r="E9" s="18" t="str">
        <f t="shared" ref="E9:E12" si="1">IF(C9 + D9 &lt;= 0, "1d2", IF(C9 + D9 = 1, "1d4", IF(C9 + D9 = 2, "1d6", IF(C9 + D9 = 3, "1d8", IF(C9 + D9 = 4, "1d10", IF(C9 + D9 = 5, "2d6", IF(C9 + D9 = 6, "2d8", IF(C9 + D9 = 7, "2d10", IF(C9 + D9 = 8, "3d8", IF(C9 + D9 = 9, "3d10", IF(C9 + D9 = 10, "4d8", )))))))))))</f>
        <v>2d6</v>
      </c>
      <c r="L9" s="44"/>
      <c r="M9" s="42"/>
      <c r="N9" s="42"/>
      <c r="O9" s="42"/>
    </row>
    <row r="10" spans="2:19" ht="15" customHeight="1" x14ac:dyDescent="0.25">
      <c r="B10" s="34" t="s">
        <v>39</v>
      </c>
      <c r="C10" s="17">
        <v>3</v>
      </c>
      <c r="D10" s="17"/>
      <c r="E10" s="16" t="str">
        <f t="shared" si="1"/>
        <v>1d8</v>
      </c>
      <c r="G10" s="135" t="s">
        <v>57</v>
      </c>
      <c r="H10" s="136">
        <v>4</v>
      </c>
      <c r="L10" s="44"/>
      <c r="M10" s="42"/>
      <c r="N10" s="42"/>
      <c r="O10" s="42"/>
    </row>
    <row r="11" spans="2:19" ht="15" customHeight="1" x14ac:dyDescent="0.25">
      <c r="B11" s="35" t="s">
        <v>40</v>
      </c>
      <c r="C11" s="19">
        <v>0</v>
      </c>
      <c r="D11" s="19"/>
      <c r="E11" s="18" t="str">
        <f t="shared" si="1"/>
        <v>1d2</v>
      </c>
      <c r="G11" s="79"/>
      <c r="H11" s="81"/>
      <c r="L11" s="44"/>
      <c r="M11" s="42"/>
      <c r="N11" s="42"/>
      <c r="O11" s="42"/>
    </row>
    <row r="12" spans="2:19" ht="15.75" customHeight="1" thickBot="1" x14ac:dyDescent="0.3">
      <c r="B12" s="34" t="s">
        <v>41</v>
      </c>
      <c r="C12" s="17">
        <v>2</v>
      </c>
      <c r="D12" s="17"/>
      <c r="E12" s="16" t="str">
        <f t="shared" si="1"/>
        <v>1d6</v>
      </c>
      <c r="G12" s="79" t="s">
        <v>58</v>
      </c>
      <c r="H12" s="81">
        <v>4</v>
      </c>
      <c r="L12" s="44"/>
      <c r="M12" s="42"/>
      <c r="N12" s="42"/>
      <c r="O12" s="42"/>
    </row>
    <row r="13" spans="2:19" ht="15.75" customHeight="1" thickBot="1" x14ac:dyDescent="0.3">
      <c r="B13" s="129" t="s">
        <v>42</v>
      </c>
      <c r="C13" s="130"/>
      <c r="D13" s="130"/>
      <c r="E13" s="131"/>
      <c r="G13" s="80"/>
      <c r="H13" s="82"/>
    </row>
    <row r="14" spans="2:19" ht="15.75" thickBot="1" x14ac:dyDescent="0.3">
      <c r="B14" s="36" t="s">
        <v>43</v>
      </c>
      <c r="C14" s="15"/>
      <c r="D14" s="15"/>
      <c r="E14" s="14" t="str">
        <f t="shared" ref="E14:E16" si="2">IF(C14 + D14 &lt;= 0, "1d2", IF(C14 + D14 = 1, "1d4", IF(C14 + D14 = 2, "1d6", IF(C14 + D14 = 3, "1d8", IF(C14 + D14 = 4, "1d10", IF(C14 + D14 = 5, "2d6", IF(C14 + D14 = 6, "2d8", IF(C14 + D14 = 7, "2d10", IF(C14 + D14 = 8, "3d8", IF(C14 + D14 = 9, "3d10", IF(C14 + D14 = 10, "4d8", )))))))))))</f>
        <v>1d2</v>
      </c>
    </row>
    <row r="15" spans="2:19" ht="15" customHeight="1" x14ac:dyDescent="0.25">
      <c r="B15" s="37" t="s">
        <v>44</v>
      </c>
      <c r="C15" s="13">
        <v>1</v>
      </c>
      <c r="D15" s="13"/>
      <c r="E15" s="12" t="str">
        <f t="shared" si="2"/>
        <v>1d4</v>
      </c>
      <c r="G15" s="83" t="str">
        <f>IF(H27 = 0, "GUARD", "GUARD")</f>
        <v>GUARD</v>
      </c>
      <c r="H15" s="85">
        <v>0</v>
      </c>
    </row>
    <row r="16" spans="2:19" ht="15.75" customHeight="1" thickBot="1" x14ac:dyDescent="0.3">
      <c r="B16" s="38" t="s">
        <v>45</v>
      </c>
      <c r="C16" s="11">
        <v>3</v>
      </c>
      <c r="D16" s="11"/>
      <c r="E16" s="10" t="str">
        <f t="shared" si="2"/>
        <v>1d8</v>
      </c>
      <c r="G16" s="84"/>
      <c r="H16" s="86"/>
    </row>
    <row r="17" spans="2:10" ht="15" customHeight="1" x14ac:dyDescent="0.25">
      <c r="B17" s="132" t="s">
        <v>53</v>
      </c>
      <c r="C17" s="133"/>
      <c r="D17" s="133"/>
      <c r="E17" s="134"/>
      <c r="G17" s="87" t="str">
        <f>IF(H27 = 0, "DODGE", "EVASÃO")</f>
        <v>DODGE</v>
      </c>
      <c r="H17" s="89">
        <v>0</v>
      </c>
    </row>
    <row r="18" spans="2:10" ht="15.75" customHeight="1" thickBot="1" x14ac:dyDescent="0.3">
      <c r="B18" s="39" t="s">
        <v>46</v>
      </c>
      <c r="C18" s="7"/>
      <c r="D18" s="7"/>
      <c r="E18" s="6" t="str">
        <f t="shared" ref="E18:E25" si="3">IF(C18 + D18 &lt;= 0, "1d2", IF(C18 + D18 = 1, "1d4", IF(C18 + D18 = 2, "1d6", IF(C18 + D18 = 3, "1d8", IF(C18 + D18 = 4, "1d10", IF(C18 + D18 = 5, "2d6", IF(C18 + D18 = 6, "2d8", IF(C18 + D18 = 7, "2d10", IF(C18 + D18 = 8, "3d8", IF(C18 + D18 = 9, "3d10", IF(C18 + D18 = 10, "4d8", )))))))))))</f>
        <v>1d2</v>
      </c>
      <c r="G18" s="88"/>
      <c r="H18" s="90"/>
    </row>
    <row r="19" spans="2:10" ht="15.75" thickBot="1" x14ac:dyDescent="0.3">
      <c r="B19" s="40" t="s">
        <v>47</v>
      </c>
      <c r="C19" s="9"/>
      <c r="D19" s="9"/>
      <c r="E19" s="8" t="str">
        <f t="shared" si="3"/>
        <v>1d2</v>
      </c>
    </row>
    <row r="20" spans="2:10" x14ac:dyDescent="0.25">
      <c r="B20" s="39" t="s">
        <v>48</v>
      </c>
      <c r="C20" s="7">
        <v>8</v>
      </c>
      <c r="D20" s="7"/>
      <c r="E20" s="6" t="str">
        <f t="shared" si="3"/>
        <v>3d8</v>
      </c>
      <c r="G20" s="106" t="str">
        <f>IF(Q17 = 0, "Defense Calculation", "Cálculo de Defesa")</f>
        <v>Defense Calculation</v>
      </c>
      <c r="H20" s="107"/>
      <c r="I20" s="107"/>
      <c r="J20" s="108"/>
    </row>
    <row r="21" spans="2:10" x14ac:dyDescent="0.25">
      <c r="B21" s="40" t="s">
        <v>49</v>
      </c>
      <c r="C21" s="9"/>
      <c r="D21" s="9"/>
      <c r="E21" s="8" t="str">
        <f t="shared" si="3"/>
        <v>1d2</v>
      </c>
      <c r="G21" s="46" t="str">
        <f>IF(Q17 = 0, "Pre-Defense", "Antes da Defesa")</f>
        <v>Pre-Defense</v>
      </c>
      <c r="H21" s="109" t="str">
        <f>IF(Q17 = 0, "Post-Defense", "Pós-Defesa")</f>
        <v>Post-Defense</v>
      </c>
      <c r="I21" s="109"/>
      <c r="J21" s="110"/>
    </row>
    <row r="22" spans="2:10" ht="15" customHeight="1" x14ac:dyDescent="0.25">
      <c r="B22" s="39" t="s">
        <v>50</v>
      </c>
      <c r="C22" s="7"/>
      <c r="D22" s="7"/>
      <c r="E22" s="6" t="str">
        <f t="shared" si="3"/>
        <v>1d2</v>
      </c>
      <c r="G22" s="100"/>
      <c r="H22" s="102" t="str">
        <f>IF(G22 = "", "", IF(H17 &lt; 0, G22 - (H15), IF(ROUNDUP(G22 * 10/(H17+10) - (H15), 0) &gt;= 0, ROUNDUP(G22 * 10/(H17+10) - (H15), 0), 0)))</f>
        <v/>
      </c>
      <c r="I22" s="102"/>
      <c r="J22" s="103"/>
    </row>
    <row r="23" spans="2:10" ht="15.75" customHeight="1" thickBot="1" x14ac:dyDescent="0.3">
      <c r="B23" s="40" t="s">
        <v>27</v>
      </c>
      <c r="C23" s="9"/>
      <c r="D23" s="9"/>
      <c r="E23" s="8" t="str">
        <f t="shared" si="3"/>
        <v>1d2</v>
      </c>
      <c r="G23" s="101"/>
      <c r="H23" s="104"/>
      <c r="I23" s="104"/>
      <c r="J23" s="105"/>
    </row>
    <row r="24" spans="2:10" x14ac:dyDescent="0.25">
      <c r="B24" s="39" t="s">
        <v>51</v>
      </c>
      <c r="C24" s="7"/>
      <c r="D24" s="7"/>
      <c r="E24" s="6" t="str">
        <f t="shared" si="3"/>
        <v>1d2</v>
      </c>
    </row>
    <row r="25" spans="2:10" ht="15.75" thickBot="1" x14ac:dyDescent="0.3">
      <c r="B25" s="41" t="s">
        <v>52</v>
      </c>
      <c r="C25" s="5"/>
      <c r="D25" s="5"/>
      <c r="E25" s="4" t="str">
        <f t="shared" si="3"/>
        <v>1d2</v>
      </c>
    </row>
    <row r="26" spans="2:10" ht="15.75" thickTop="1" x14ac:dyDescent="0.25"/>
  </sheetData>
  <mergeCells count="28">
    <mergeCell ref="Q3:S3"/>
    <mergeCell ref="H21:J21"/>
    <mergeCell ref="G22:G23"/>
    <mergeCell ref="H22:J23"/>
    <mergeCell ref="G15:G16"/>
    <mergeCell ref="H15:H16"/>
    <mergeCell ref="B17:E17"/>
    <mergeCell ref="G17:G18"/>
    <mergeCell ref="H17:H18"/>
    <mergeCell ref="G20:J20"/>
    <mergeCell ref="G7:G8"/>
    <mergeCell ref="H7:J8"/>
    <mergeCell ref="B8:E8"/>
    <mergeCell ref="G10:G11"/>
    <mergeCell ref="H10:H11"/>
    <mergeCell ref="G12:G13"/>
    <mergeCell ref="H12:H13"/>
    <mergeCell ref="B13:E13"/>
    <mergeCell ref="B2:E2"/>
    <mergeCell ref="G2:G3"/>
    <mergeCell ref="H2:H3"/>
    <mergeCell ref="I2:I3"/>
    <mergeCell ref="J2:J3"/>
    <mergeCell ref="B4:E4"/>
    <mergeCell ref="G4:G5"/>
    <mergeCell ref="H4:H5"/>
    <mergeCell ref="I4:I5"/>
    <mergeCell ref="J4:J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O26"/>
  <sheetViews>
    <sheetView showGridLines="0" workbookViewId="0">
      <selection activeCell="B8" sqref="B8:E8"/>
    </sheetView>
  </sheetViews>
  <sheetFormatPr defaultRowHeight="15" x14ac:dyDescent="0.25"/>
  <cols>
    <col min="1" max="1" width="5.42578125" customWidth="1"/>
    <col min="2" max="2" width="10.7109375" bestFit="1" customWidth="1"/>
    <col min="6" max="6" width="3.140625" customWidth="1"/>
    <col min="7" max="7" width="18.140625" bestFit="1" customWidth="1"/>
    <col min="8" max="8" width="10.42578125" customWidth="1"/>
    <col min="9" max="9" width="2.42578125" customWidth="1"/>
    <col min="10" max="10" width="14.140625" customWidth="1"/>
    <col min="12" max="12" width="19.85546875" bestFit="1" customWidth="1"/>
    <col min="13" max="13" width="62.85546875" customWidth="1"/>
    <col min="14" max="15" width="11" customWidth="1"/>
  </cols>
  <sheetData>
    <row r="1" spans="2:15" ht="15.75" thickBot="1" x14ac:dyDescent="0.3"/>
    <row r="2" spans="2:15" ht="16.5" customHeight="1" thickTop="1" x14ac:dyDescent="0.3">
      <c r="B2" s="91" t="s">
        <v>34</v>
      </c>
      <c r="C2" s="92"/>
      <c r="D2" s="92"/>
      <c r="E2" s="93"/>
      <c r="G2" s="94" t="s">
        <v>22</v>
      </c>
      <c r="H2" s="141">
        <v>120</v>
      </c>
      <c r="I2" s="96" t="s">
        <v>23</v>
      </c>
      <c r="J2" s="143">
        <v>120</v>
      </c>
      <c r="L2" s="30" t="s">
        <v>29</v>
      </c>
      <c r="M2" s="30" t="s">
        <v>30</v>
      </c>
      <c r="N2" s="30" t="s">
        <v>7</v>
      </c>
      <c r="O2" s="30" t="s">
        <v>31</v>
      </c>
    </row>
    <row r="3" spans="2:15" ht="30" customHeight="1" thickBot="1" x14ac:dyDescent="0.3">
      <c r="B3" s="29" t="s">
        <v>1</v>
      </c>
      <c r="C3" s="28" t="s">
        <v>35</v>
      </c>
      <c r="D3" s="28" t="s">
        <v>36</v>
      </c>
      <c r="E3" s="27" t="s">
        <v>6</v>
      </c>
      <c r="G3" s="95"/>
      <c r="H3" s="142"/>
      <c r="I3" s="97"/>
      <c r="J3" s="144"/>
      <c r="L3" s="44" t="s">
        <v>54</v>
      </c>
      <c r="M3" s="43" t="s">
        <v>92</v>
      </c>
      <c r="N3" s="42" t="s">
        <v>28</v>
      </c>
      <c r="O3" s="42" t="s">
        <v>28</v>
      </c>
    </row>
    <row r="4" spans="2:15" ht="15" customHeight="1" x14ac:dyDescent="0.25">
      <c r="B4" s="111" t="s">
        <v>37</v>
      </c>
      <c r="C4" s="112"/>
      <c r="D4" s="112"/>
      <c r="E4" s="113"/>
      <c r="G4" s="114" t="s">
        <v>24</v>
      </c>
      <c r="H4" s="116">
        <v>0</v>
      </c>
      <c r="I4" s="116" t="s">
        <v>23</v>
      </c>
      <c r="J4" s="118">
        <v>0</v>
      </c>
      <c r="L4" s="44" t="s">
        <v>55</v>
      </c>
      <c r="M4" t="s">
        <v>56</v>
      </c>
      <c r="N4" s="42" t="s">
        <v>28</v>
      </c>
      <c r="O4" s="42" t="s">
        <v>28</v>
      </c>
    </row>
    <row r="5" spans="2:15" ht="15.75" customHeight="1" thickBot="1" x14ac:dyDescent="0.3">
      <c r="B5" s="32" t="s">
        <v>26</v>
      </c>
      <c r="C5" s="23">
        <v>1</v>
      </c>
      <c r="D5" s="23"/>
      <c r="E5" s="26" t="str">
        <f>IF(C5 + D5 &lt;= 1, "1d4", IF(C5 + D5 = 2, "1d6", IF(C5 + D5 = 3, "1d8", IF(C5 + D5 = 4, "1d10", IF(C5 + D5 = 5, "2d6", IF(C5 + D5 = 6, "2d8", IF(C5 + D5 = 7, "2d10", IF(C5 + D5 = 8, "3d8", IF(C5 + D5 = 9, "3d10", IF(C5 + D5 = 10, "4d8", ))))))))))</f>
        <v>1d4</v>
      </c>
      <c r="G5" s="115"/>
      <c r="H5" s="117"/>
      <c r="I5" s="117"/>
      <c r="J5" s="119"/>
      <c r="L5" s="44" t="s">
        <v>59</v>
      </c>
      <c r="M5" t="s">
        <v>65</v>
      </c>
      <c r="N5" s="42" t="s">
        <v>28</v>
      </c>
      <c r="O5" s="42" t="s">
        <v>28</v>
      </c>
    </row>
    <row r="6" spans="2:15" ht="15.75" thickBot="1" x14ac:dyDescent="0.3">
      <c r="B6" s="31" t="s">
        <v>32</v>
      </c>
      <c r="C6" s="25">
        <v>7</v>
      </c>
      <c r="D6" s="25"/>
      <c r="E6" s="24" t="str">
        <f>IF(C6 + D6 &lt;= 1, "1d4", IF(C6 + D6 = 2, "1d6", IF(C6 + D6 = 3, "1d8", IF(C6 + D6 = 4, "1d10", IF(C6 + D6 = 5, "2d6", IF(C6 + D6 = 6, "2d8", IF(C6 + D6 = 7, "2d10", IF(C6 + D6 = 8, "3d8", IF(C6 + D6 = 9, "3d10", IF(C6 + D6 = 10, "4d8", ))))))))))</f>
        <v>2d10</v>
      </c>
      <c r="L6" s="44" t="s">
        <v>64</v>
      </c>
      <c r="M6" s="44" t="s">
        <v>66</v>
      </c>
      <c r="N6" s="42"/>
      <c r="O6" s="42"/>
    </row>
    <row r="7" spans="2:15" ht="15.75" customHeight="1" thickBot="1" x14ac:dyDescent="0.3">
      <c r="B7" s="33" t="s">
        <v>33</v>
      </c>
      <c r="C7" s="22">
        <v>6</v>
      </c>
      <c r="D7" s="22"/>
      <c r="E7" s="21" t="str">
        <f>IF(C7 + D7 &lt;= 1, "1d4", IF(C7 + D7 = 2, "1d6", IF(C7 + D7 = 3, "1d8", IF(C7 + D7 = 4, "1d10", IF(C7 + D7 = 5, "2d6", IF(C7 + D7 = 6, "2d8", IF(C7 + D7 = 7, "2d10", IF(C7 + D7 = 8, "3d8", IF(C7 + D7 = 9, "3d10", IF(C7 + D7 = 10, "4d8", ))))))))))</f>
        <v>2d8</v>
      </c>
      <c r="G7" s="120" t="s">
        <v>25</v>
      </c>
      <c r="H7" s="122" t="s">
        <v>97</v>
      </c>
      <c r="I7" s="122"/>
      <c r="J7" s="123"/>
      <c r="L7" s="44"/>
      <c r="M7" s="42"/>
      <c r="N7" s="42"/>
      <c r="O7" s="42"/>
    </row>
    <row r="8" spans="2:15" ht="15.75" customHeight="1" thickBot="1" x14ac:dyDescent="0.3">
      <c r="B8" s="126" t="s">
        <v>38</v>
      </c>
      <c r="C8" s="127"/>
      <c r="D8" s="127"/>
      <c r="E8" s="128"/>
      <c r="G8" s="121"/>
      <c r="H8" s="124"/>
      <c r="I8" s="124"/>
      <c r="J8" s="125"/>
      <c r="L8" s="44"/>
      <c r="M8" s="42"/>
      <c r="N8" s="42"/>
      <c r="O8" s="42"/>
    </row>
    <row r="9" spans="2:15" ht="15.75" thickBot="1" x14ac:dyDescent="0.3">
      <c r="B9" s="20" t="str">
        <f>IF(L24 = 0,"Learning","Aprendizado")</f>
        <v>Learning</v>
      </c>
      <c r="C9" s="19">
        <v>-2</v>
      </c>
      <c r="D9" s="19"/>
      <c r="E9" s="18" t="str">
        <f>IF(C9 + D9 &lt;= 1, "1d4", IF(C9 + D9 = 2, "1d6", IF(C9 + D9 = 3, "1d8", IF(C9 + D9 = 4, "1d10", IF(C9 + D9 = 5, "2d6", IF(C9 + D9 = 6, "2d8", IF(C9 + D9 = 7, "2d10", IF(C9 + D9 = 8, "3d8", IF(C9 + D9 = 9, "3d10", IF(C9 + D9 = 10, "4d8", ))))))))))</f>
        <v>1d4</v>
      </c>
      <c r="L9" s="44"/>
      <c r="M9" s="42"/>
      <c r="N9" s="42"/>
      <c r="O9" s="42"/>
    </row>
    <row r="10" spans="2:15" ht="15" customHeight="1" x14ac:dyDescent="0.25">
      <c r="B10" s="34" t="s">
        <v>39</v>
      </c>
      <c r="C10" s="17">
        <v>-3</v>
      </c>
      <c r="D10" s="17"/>
      <c r="E10" s="16" t="str">
        <f>IF(C10 + D10 &lt;= 1, "1d4", IF(C10 + D10 = 2, "1d6", IF(C10 + D10 = 3, "1d8", IF(C10 + D10 = 4, "1d10", IF(C10 + D10 = 5, "2d6", IF(C10 + D10 = 6, "2d8", IF(C10 + D10 = 7, "2d10", IF(C10 + D10 = 8, "3d8", IF(C10 + D10 = 9, "3d10", IF(C10 + D10 = 10, "4d8", ))))))))))</f>
        <v>1d4</v>
      </c>
      <c r="G10" s="135" t="s">
        <v>57</v>
      </c>
      <c r="H10" s="136">
        <v>4</v>
      </c>
      <c r="L10" s="44"/>
      <c r="M10" s="42"/>
      <c r="N10" s="42"/>
      <c r="O10" s="42"/>
    </row>
    <row r="11" spans="2:15" ht="15" customHeight="1" x14ac:dyDescent="0.25">
      <c r="B11" s="35" t="s">
        <v>40</v>
      </c>
      <c r="C11" s="19">
        <v>-2</v>
      </c>
      <c r="D11" s="19"/>
      <c r="E11" s="18" t="str">
        <f>IF(C11 + D11 &lt;= 1, "1d4", IF(C11 + D11 = 2, "1d6", IF(C11 + D11 = 3, "1d8", IF(C11 + D11 = 4, "1d10", IF(C11 + D11 = 5, "2d6", IF(C11 + D11 = 6, "2d8", IF(C11 + D11 = 7, "2d10", IF(C11 + D11 = 8, "3d8", IF(C11 + D11 = 9, "3d10", IF(C11 + D11 = 10, "4d8", ))))))))))</f>
        <v>1d4</v>
      </c>
      <c r="G11" s="79"/>
      <c r="H11" s="81"/>
      <c r="L11" s="44"/>
      <c r="M11" s="42"/>
      <c r="N11" s="42"/>
      <c r="O11" s="42"/>
    </row>
    <row r="12" spans="2:15" ht="15.75" customHeight="1" thickBot="1" x14ac:dyDescent="0.3">
      <c r="B12" s="34" t="s">
        <v>41</v>
      </c>
      <c r="C12" s="17">
        <v>5</v>
      </c>
      <c r="D12" s="17"/>
      <c r="E12" s="16" t="str">
        <f>IF(C12 + D12 &lt;= 1, "1d4", IF(C12 + D12 = 2, "1d6", IF(C12 + D12 = 3, "1d8", IF(C12 + D12 = 4, "1d10", IF(C12 + D12 = 5, "2d6", IF(C12 + D12 = 6, "2d8", IF(C12 + D12 = 7, "2d10", IF(C12 + D12 = 8, "3d8", IF(C12 + D12 = 9, "3d10", IF(C12 + D12 = 10, "4d8", ))))))))))</f>
        <v>2d6</v>
      </c>
      <c r="G12" s="79" t="s">
        <v>58</v>
      </c>
      <c r="H12" s="81">
        <v>4</v>
      </c>
      <c r="L12" s="44"/>
      <c r="M12" s="42"/>
      <c r="N12" s="42"/>
      <c r="O12" s="42"/>
    </row>
    <row r="13" spans="2:15" ht="15.75" customHeight="1" thickBot="1" x14ac:dyDescent="0.3">
      <c r="B13" s="129" t="s">
        <v>42</v>
      </c>
      <c r="C13" s="130"/>
      <c r="D13" s="130"/>
      <c r="E13" s="131"/>
      <c r="G13" s="80"/>
      <c r="H13" s="82"/>
    </row>
    <row r="14" spans="2:15" ht="15.75" thickBot="1" x14ac:dyDescent="0.3">
      <c r="B14" s="36" t="s">
        <v>43</v>
      </c>
      <c r="C14" s="15"/>
      <c r="D14" s="15"/>
      <c r="E14" s="14" t="str">
        <f>IF(C14 + D14 &lt;= 1, "1d4", IF(C14 + D14 = 2, "1d6", IF(C14 + D14 = 3, "1d8", IF(C14 + D14 = 4, "1d10", IF(C14 + D14 = 5, "2d6", IF(C14 + D14 = 6, "2d8", IF(C14 + D14 = 7, "2d10", IF(C14 + D14 = 8, "3d8", IF(C14 + D14 = 9, "3d10", IF(C14 + D14 = 10, "4d8", ))))))))))</f>
        <v>1d4</v>
      </c>
    </row>
    <row r="15" spans="2:15" ht="15" customHeight="1" x14ac:dyDescent="0.25">
      <c r="B15" s="37" t="s">
        <v>44</v>
      </c>
      <c r="C15" s="13"/>
      <c r="D15" s="13"/>
      <c r="E15" s="12" t="str">
        <f>IF(C15 + D15 &lt;= 1, "1d4", IF(C15 + D15 = 2, "1d6", IF(C15 + D15 = 3, "1d8", IF(C15 + D15 = 4, "1d10", IF(C15 + D15 = 5, "2d6", IF(C15 + D15 = 6, "2d8", IF(C15 + D15 = 7, "2d10", IF(C15 + D15 = 8, "3d8", IF(C15 + D15 = 9, "3d10", IF(C15 + D15 = 10, "4d8", ))))))))))</f>
        <v>1d4</v>
      </c>
      <c r="G15" s="83" t="str">
        <f>IF(H27 = 0, "GUARD", "GUARD")</f>
        <v>GUARD</v>
      </c>
      <c r="H15" s="85">
        <v>0</v>
      </c>
    </row>
    <row r="16" spans="2:15" ht="15.75" customHeight="1" thickBot="1" x14ac:dyDescent="0.3">
      <c r="B16" s="38" t="s">
        <v>45</v>
      </c>
      <c r="C16" s="11">
        <v>5</v>
      </c>
      <c r="D16" s="11"/>
      <c r="E16" s="10" t="str">
        <f>IF(C16 + D16 &lt;= 1, "1d4", IF(C16 + D16 = 2, "1d6", IF(C16 + D16 = 3, "1d8", IF(C16 + D16 = 4, "1d10", IF(C16 + D16 = 5, "2d6", IF(C16 + D16 = 6, "2d8", IF(C16 + D16 = 7, "2d10", IF(C16 + D16 = 8, "3d8", IF(C16 + D16 = 9, "3d10", IF(C16 + D16 = 10, "4d8", ))))))))))</f>
        <v>2d6</v>
      </c>
      <c r="G16" s="84"/>
      <c r="H16" s="86"/>
    </row>
    <row r="17" spans="2:10" ht="15" customHeight="1" x14ac:dyDescent="0.25">
      <c r="B17" s="132" t="s">
        <v>53</v>
      </c>
      <c r="C17" s="133"/>
      <c r="D17" s="133"/>
      <c r="E17" s="134"/>
      <c r="G17" s="87" t="str">
        <f>IF(H27 = 0, "DODGE", "EVASÃO")</f>
        <v>DODGE</v>
      </c>
      <c r="H17" s="89">
        <v>-5</v>
      </c>
    </row>
    <row r="18" spans="2:10" ht="15.75" customHeight="1" thickBot="1" x14ac:dyDescent="0.3">
      <c r="B18" s="39" t="s">
        <v>46</v>
      </c>
      <c r="C18" s="7"/>
      <c r="D18" s="7"/>
      <c r="E18" s="6" t="str">
        <f t="shared" ref="E18:E25" si="0">IF(C18 + D18 &lt;= 1, "1d4", IF(C18 + D18 = 2, "1d6", IF(C18 + D18 = 3, "1d8", IF(C18 + D18 = 4, "1d10", IF(C18 + D18 = 5, "2d6", IF(C18 + D18 = 6, "2d8", IF(C18 + D18 = 7, "2d10", IF(C18 + D18 = 8, "3d8", IF(C18 + D18 = 9, "3d10", IF(C18 + D18 = 10, "4d8", ))))))))))</f>
        <v>1d4</v>
      </c>
      <c r="G18" s="88"/>
      <c r="H18" s="90"/>
    </row>
    <row r="19" spans="2:10" ht="15.75" thickBot="1" x14ac:dyDescent="0.3">
      <c r="B19" s="40" t="s">
        <v>47</v>
      </c>
      <c r="C19" s="9"/>
      <c r="D19" s="9"/>
      <c r="E19" s="8" t="str">
        <f t="shared" si="0"/>
        <v>1d4</v>
      </c>
    </row>
    <row r="20" spans="2:10" x14ac:dyDescent="0.25">
      <c r="B20" s="39" t="s">
        <v>48</v>
      </c>
      <c r="C20" s="7">
        <v>1</v>
      </c>
      <c r="D20" s="7"/>
      <c r="E20" s="6" t="str">
        <f t="shared" si="0"/>
        <v>1d4</v>
      </c>
      <c r="G20" s="106" t="str">
        <f>IF(Q17 = 0, "Defense Calculation", "Cálculo de Defesa")</f>
        <v>Defense Calculation</v>
      </c>
      <c r="H20" s="107"/>
      <c r="I20" s="107"/>
      <c r="J20" s="108"/>
    </row>
    <row r="21" spans="2:10" x14ac:dyDescent="0.25">
      <c r="B21" s="40" t="s">
        <v>49</v>
      </c>
      <c r="C21" s="9"/>
      <c r="D21" s="9"/>
      <c r="E21" s="8" t="str">
        <f t="shared" si="0"/>
        <v>1d4</v>
      </c>
      <c r="G21" s="46" t="str">
        <f>IF(Q17 = 0, "Pre-Defense", "Antes da Defesa")</f>
        <v>Pre-Defense</v>
      </c>
      <c r="H21" s="109" t="str">
        <f>IF(Q17 = 0, "Post-Defense", "Pós-Defesa")</f>
        <v>Post-Defense</v>
      </c>
      <c r="I21" s="109"/>
      <c r="J21" s="110"/>
    </row>
    <row r="22" spans="2:10" ht="15" customHeight="1" x14ac:dyDescent="0.25">
      <c r="B22" s="39" t="s">
        <v>50</v>
      </c>
      <c r="C22" s="7"/>
      <c r="D22" s="7"/>
      <c r="E22" s="6" t="str">
        <f t="shared" si="0"/>
        <v>1d4</v>
      </c>
      <c r="G22" s="100"/>
      <c r="H22" s="102" t="str">
        <f>IF(G22 = "", "", IF(H17 &lt; 0, G22 - (H15), IF(ROUNDUP(G22 * 10/(H17+10) - (H15), 0) &gt;= 0, ROUNDUP(G22 * 10/(H17+10) - (H15), 0), 0)))</f>
        <v/>
      </c>
      <c r="I22" s="102"/>
      <c r="J22" s="103"/>
    </row>
    <row r="23" spans="2:10" ht="15.75" customHeight="1" thickBot="1" x14ac:dyDescent="0.3">
      <c r="B23" s="40" t="s">
        <v>27</v>
      </c>
      <c r="C23" s="9"/>
      <c r="D23" s="9"/>
      <c r="E23" s="8" t="str">
        <f t="shared" si="0"/>
        <v>1d4</v>
      </c>
      <c r="G23" s="101"/>
      <c r="H23" s="104"/>
      <c r="I23" s="104"/>
      <c r="J23" s="105"/>
    </row>
    <row r="24" spans="2:10" x14ac:dyDescent="0.25">
      <c r="B24" s="39" t="s">
        <v>51</v>
      </c>
      <c r="C24" s="7"/>
      <c r="D24" s="7"/>
      <c r="E24" s="6" t="str">
        <f t="shared" si="0"/>
        <v>1d4</v>
      </c>
    </row>
    <row r="25" spans="2:10" ht="15.75" thickBot="1" x14ac:dyDescent="0.3">
      <c r="B25" s="41" t="s">
        <v>52</v>
      </c>
      <c r="C25" s="5"/>
      <c r="D25" s="5"/>
      <c r="E25" s="4" t="str">
        <f t="shared" si="0"/>
        <v>1d4</v>
      </c>
    </row>
    <row r="26" spans="2:10" ht="15.75" thickTop="1" x14ac:dyDescent="0.25"/>
  </sheetData>
  <mergeCells count="27">
    <mergeCell ref="H21:J21"/>
    <mergeCell ref="G22:G23"/>
    <mergeCell ref="H22:J23"/>
    <mergeCell ref="G15:G16"/>
    <mergeCell ref="H15:H16"/>
    <mergeCell ref="B17:E17"/>
    <mergeCell ref="G17:G18"/>
    <mergeCell ref="H17:H18"/>
    <mergeCell ref="G20:J20"/>
    <mergeCell ref="G7:G8"/>
    <mergeCell ref="H7:J8"/>
    <mergeCell ref="B8:E8"/>
    <mergeCell ref="G10:G11"/>
    <mergeCell ref="H10:H11"/>
    <mergeCell ref="G12:G13"/>
    <mergeCell ref="H12:H13"/>
    <mergeCell ref="B13:E13"/>
    <mergeCell ref="B2:E2"/>
    <mergeCell ref="G2:G3"/>
    <mergeCell ref="H2:H3"/>
    <mergeCell ref="I2:I3"/>
    <mergeCell ref="J2:J3"/>
    <mergeCell ref="B4:E4"/>
    <mergeCell ref="G4:G5"/>
    <mergeCell ref="H4:H5"/>
    <mergeCell ref="I4:I5"/>
    <mergeCell ref="J4:J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Usefull Stuff</vt:lpstr>
      <vt:lpstr>Sheet1</vt:lpstr>
      <vt:lpstr>Enemy Sheet</vt:lpstr>
      <vt:lpstr>Crystal Wolf #2</vt:lpstr>
      <vt:lpstr>Jesse the Owlbear</vt:lpstr>
      <vt:lpstr>Rai</vt:lpstr>
      <vt:lpstr>Zhen</vt:lpstr>
      <vt:lpstr>Berg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2018-02-05T19:33:52Z</dcterms:created>
  <dcterms:modified xsi:type="dcterms:W3CDTF">2018-06-15T21:06:37Z</dcterms:modified>
</cp:coreProperties>
</file>