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"/>
    </mc:Choice>
  </mc:AlternateContent>
  <xr:revisionPtr revIDLastSave="0" documentId="8_{A2F5B604-C247-48C5-8244-84CD533BF3B8}" xr6:coauthVersionLast="40" xr6:coauthVersionMax="40" xr10:uidLastSave="{00000000-0000-0000-0000-000000000000}"/>
  <bookViews>
    <workbookView xWindow="0" yWindow="0" windowWidth="28800" windowHeight="12555" xr2:uid="{00000000-000D-0000-FFFF-FFFF00000000}"/>
  </bookViews>
  <sheets>
    <sheet name="Sheet1" sheetId="1" r:id="rId1"/>
  </sheets>
  <calcPr calcId="17902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29" i="1" l="1"/>
  <c r="S32" i="1"/>
  <c r="R32" i="1"/>
  <c r="P32" i="1"/>
  <c r="C5" i="1"/>
  <c r="F32" i="1"/>
  <c r="L12" i="1"/>
  <c r="L14" i="1"/>
  <c r="N7" i="1"/>
  <c r="U4" i="1"/>
  <c r="U3" i="1"/>
  <c r="T4" i="1"/>
  <c r="T3" i="1"/>
  <c r="T2" i="1"/>
  <c r="K32" i="1"/>
  <c r="H32" i="1"/>
  <c r="U6" i="1"/>
  <c r="B13" i="1"/>
  <c r="F25" i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N9" i="1"/>
  <c r="F37" i="1"/>
  <c r="E37" i="1"/>
  <c r="D37" i="1"/>
  <c r="F36" i="1"/>
  <c r="E36" i="1"/>
  <c r="D36" i="1"/>
  <c r="B34" i="1"/>
  <c r="B9" i="1"/>
  <c r="D34" i="1"/>
  <c r="B6" i="1"/>
  <c r="B36" i="1"/>
  <c r="B27" i="1"/>
  <c r="M14" i="1"/>
  <c r="M12" i="1"/>
  <c r="C3" i="1"/>
  <c r="D3" i="1"/>
  <c r="E3" i="1"/>
  <c r="B24" i="1"/>
  <c r="B23" i="1"/>
  <c r="B18" i="1"/>
  <c r="B20" i="1"/>
  <c r="J32" i="1"/>
  <c r="Q4" i="1"/>
  <c r="R4" i="1"/>
  <c r="P2" i="1"/>
  <c r="I32" i="1"/>
  <c r="K29" i="1"/>
  <c r="H2" i="1"/>
  <c r="B5" i="1"/>
  <c r="K21" i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2" i="1"/>
  <c r="B11" i="1"/>
  <c r="B10" i="1"/>
  <c r="B8" i="1"/>
  <c r="B7" i="1"/>
  <c r="B4" i="1"/>
  <c r="B2" i="1"/>
</calcChain>
</file>

<file path=xl/sharedStrings.xml><?xml version="1.0" encoding="utf-8"?>
<sst xmlns="http://schemas.openxmlformats.org/spreadsheetml/2006/main" count="46" uniqueCount="39">
  <si>
    <t>XP</t>
  </si>
  <si>
    <t>LEVEL</t>
  </si>
  <si>
    <t>Qnt</t>
  </si>
  <si>
    <t>Arco de Caça</t>
  </si>
  <si>
    <t>Dos soldados de Bheihawk. Resistente e Confiável.</t>
  </si>
  <si>
    <t>Flecha Comum</t>
  </si>
  <si>
    <t xml:space="preserve">Flecha Comum. </t>
  </si>
  <si>
    <t>AR</t>
  </si>
  <si>
    <t>HP:</t>
  </si>
  <si>
    <t>/</t>
  </si>
  <si>
    <t>Adaga</t>
  </si>
  <si>
    <t>Adaga de Caça Comum.</t>
  </si>
  <si>
    <t>Nyzal</t>
  </si>
  <si>
    <t>Moeda de Bronze.</t>
  </si>
  <si>
    <t>MP:</t>
  </si>
  <si>
    <t>Quarle</t>
  </si>
  <si>
    <t>Moeda de Prata.</t>
  </si>
  <si>
    <t>Esnia</t>
  </si>
  <si>
    <t>Moeda de Ouro.</t>
  </si>
  <si>
    <t>Banes &amp; Boons</t>
  </si>
  <si>
    <t>Stamina</t>
  </si>
  <si>
    <t>Bane or Boon?</t>
  </si>
  <si>
    <t>Power Level</t>
  </si>
  <si>
    <t>Duration</t>
  </si>
  <si>
    <t>Smoke Bomb</t>
  </si>
  <si>
    <t> Odrei acende e joga uma bomba de fumaça. Cobrindo uma área de 5 metros em fumaça.</t>
  </si>
  <si>
    <t>-</t>
  </si>
  <si>
    <t>Ação Maior</t>
  </si>
  <si>
    <t>Sabedoria</t>
  </si>
  <si>
    <t xml:space="preserve"> Quando o assunto é sua cidade natal, Bheihawk, você não precisa passar por testes de rolagem. Você já sabe a resposta.</t>
  </si>
  <si>
    <t>Hawkiano Puro</t>
  </si>
  <si>
    <t>Odrei sofre desvantagem e tem Dano Reduzido ao atacar alguém de Bheihawk ou uma mulher humana.</t>
  </si>
  <si>
    <t> Tiro Focado</t>
  </si>
  <si>
    <t>Odrei respira fundo e foca o tiro em um único alvo. Ganhando +1 em seu atributo de ataque e podendo atirar a flecha mais longe do que seu normal.</t>
  </si>
  <si>
    <t>Agility</t>
  </si>
  <si>
    <t>3 Stamina</t>
  </si>
  <si>
    <t>Tiro Duplo</t>
  </si>
  <si>
    <t>Odrei consegue atirar duas flechas na mesma Rodada.</t>
  </si>
  <si>
    <t>4 Stamina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</si>
</sst>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</fills>
  <borders count="5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6" fillId="32" borderId="0" applyNumberFormat="0" applyBorder="0" applyAlignment="0" applyProtection="0"/>
  </cellStyleXfs>
  <cellXfs count="17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1" fillId="11" borderId="0" xfId="10" applyAlignment="1">
      <alignment horizontal="center"/>
    </xf>
    <xf numFmtId="0" fontId="1" fillId="10" borderId="0" xfId="9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Alignment="1">
      <alignment horizontal="center"/>
    </xf>
    <xf numFmtId="0" fontId="1" fillId="16" borderId="0" xfId="15" applyAlignment="1">
      <alignment horizontal="center"/>
    </xf>
    <xf numFmtId="0" fontId="1" fillId="8" borderId="0" xfId="7" applyAlignment="1">
      <alignment horizontal="center"/>
    </xf>
    <xf numFmtId="0" fontId="1" fillId="7" borderId="0" xfId="6" applyAlignment="1">
      <alignment horizontal="center"/>
    </xf>
    <xf numFmtId="0" fontId="1" fillId="22" borderId="0" xfId="2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2" fillId="29" borderId="0" xfId="0" applyFont="1" applyFill="1" applyAlignment="1">
      <alignment horizontal="center" vertical="center" wrapText="1"/>
    </xf>
    <xf numFmtId="0" fontId="22" fillId="29" borderId="0" xfId="0" applyFont="1" applyFill="1" applyAlignment="1">
      <alignment horizontal="center" vertical="center"/>
    </xf>
    <xf numFmtId="0" fontId="5" fillId="12" borderId="44" xfId="11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0" fillId="25" borderId="44" xfId="3" applyFont="1" applyFill="1" applyBorder="1" applyAlignment="1">
      <alignment horizontal="center" vertical="center"/>
    </xf>
    <xf numFmtId="0" fontId="23" fillId="25" borderId="11" xfId="3" applyFont="1" applyFill="1" applyBorder="1" applyAlignment="1">
      <alignment horizontal="center" vertical="center"/>
    </xf>
    <xf numFmtId="0" fontId="22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2" fillId="3" borderId="50" xfId="2" applyFont="1" applyBorder="1" applyAlignment="1">
      <alignment horizontal="center" vertical="center"/>
    </xf>
    <xf numFmtId="0" fontId="32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23" fillId="25" borderId="43" xfId="3" applyFont="1" applyFill="1" applyBorder="1" applyAlignment="1">
      <alignment horizontal="center" vertical="center"/>
    </xf>
    <xf numFmtId="0" fontId="24" fillId="6" borderId="0" xfId="5" applyFont="1" applyAlignment="1">
      <alignment horizontal="center" vertic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0" xfId="1" applyFont="1" applyAlignment="1">
      <alignment horizontal="center" vertical="center"/>
    </xf>
    <xf numFmtId="0" fontId="9" fillId="2" borderId="7" xfId="1" applyFont="1" applyBorder="1" applyAlignment="1">
      <alignment horizontal="center" vertical="center"/>
    </xf>
    <xf numFmtId="0" fontId="10" fillId="23" borderId="3" xfId="1" applyFont="1" applyFill="1" applyBorder="1" applyAlignment="1">
      <alignment horizontal="center" vertical="center"/>
    </xf>
    <xf numFmtId="0" fontId="10" fillId="23" borderId="4" xfId="1" applyFont="1" applyFill="1" applyBorder="1" applyAlignment="1">
      <alignment horizontal="center" vertical="center"/>
    </xf>
    <xf numFmtId="0" fontId="10" fillId="23" borderId="8" xfId="1" applyFont="1" applyFill="1" applyBorder="1" applyAlignment="1">
      <alignment horizontal="center" vertical="center"/>
    </xf>
    <xf numFmtId="0" fontId="10" fillId="23" borderId="9" xfId="1" applyFont="1" applyFill="1" applyBorder="1" applyAlignment="1">
      <alignment horizontal="center" vertical="center"/>
    </xf>
    <xf numFmtId="0" fontId="10" fillId="23" borderId="5" xfId="1" applyFont="1" applyFill="1" applyBorder="1" applyAlignment="1">
      <alignment horizontal="center" vertical="center"/>
    </xf>
    <xf numFmtId="0" fontId="10" fillId="23" borderId="10" xfId="1" applyFont="1" applyFill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9" fillId="2" borderId="6" xfId="1" applyFont="1" applyBorder="1" applyAlignment="1">
      <alignment horizontal="center" vertical="center"/>
    </xf>
    <xf numFmtId="0" fontId="23" fillId="25" borderId="43" xfId="3" applyFont="1" applyFill="1" applyBorder="1" applyAlignment="1">
      <alignment horizontal="center" vertical="center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29" fillId="23" borderId="4" xfId="1" applyFont="1" applyFill="1" applyBorder="1" applyAlignment="1">
      <alignment horizontal="center" vertical="center"/>
    </xf>
    <xf numFmtId="0" fontId="29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1" fillId="23" borderId="3" xfId="1" applyFont="1" applyFill="1" applyBorder="1" applyAlignment="1">
      <alignment horizontal="center" vertical="center"/>
    </xf>
    <xf numFmtId="0" fontId="31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3" fillId="26" borderId="3" xfId="2" applyFill="1" applyBorder="1" applyAlignment="1">
      <alignment horizontal="center" vertical="center"/>
    </xf>
    <xf numFmtId="0" fontId="3" fillId="26" borderId="5" xfId="2" applyFill="1" applyBorder="1" applyAlignment="1">
      <alignment horizontal="center" vertical="center"/>
    </xf>
    <xf numFmtId="0" fontId="27" fillId="32" borderId="3" xfId="24" applyFont="1" applyBorder="1" applyAlignment="1">
      <alignment horizontal="center"/>
    </xf>
    <xf numFmtId="0" fontId="27" fillId="32" borderId="8" xfId="24" applyFont="1" applyBorder="1" applyAlignment="1">
      <alignment horizontal="center"/>
    </xf>
    <xf numFmtId="0" fontId="27" fillId="32" borderId="5" xfId="24" applyFont="1" applyBorder="1" applyAlignment="1">
      <alignment horizontal="center"/>
    </xf>
    <xf numFmtId="0" fontId="27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0" fillId="2" borderId="3" xfId="1" applyFont="1" applyBorder="1" applyAlignment="1">
      <alignment horizontal="center" vertical="center"/>
    </xf>
    <xf numFmtId="0" fontId="30" fillId="2" borderId="8" xfId="1" applyFont="1" applyBorder="1" applyAlignment="1">
      <alignment horizontal="center" vertical="center"/>
    </xf>
    <xf numFmtId="0" fontId="25" fillId="20" borderId="0" xfId="19" applyFont="1" applyAlignment="1">
      <alignment horizontal="center" vertical="center"/>
    </xf>
    <xf numFmtId="0" fontId="28" fillId="2" borderId="4" xfId="1" applyFont="1" applyBorder="1" applyAlignment="1">
      <alignment horizontal="center" vertical="center"/>
    </xf>
    <xf numFmtId="0" fontId="28" fillId="2" borderId="9" xfId="1" applyFont="1" applyBorder="1" applyAlignment="1">
      <alignment horizontal="center" vertical="center"/>
    </xf>
    <xf numFmtId="0" fontId="30" fillId="2" borderId="4" xfId="1" applyFont="1" applyBorder="1" applyAlignment="1">
      <alignment horizontal="center" vertical="center"/>
    </xf>
    <xf numFmtId="0" fontId="30" fillId="2" borderId="9" xfId="1" applyFont="1" applyBorder="1" applyAlignment="1">
      <alignment horizontal="center" vertical="center"/>
    </xf>
    <xf numFmtId="0" fontId="28" fillId="2" borderId="5" xfId="1" applyFont="1" applyBorder="1" applyAlignment="1">
      <alignment horizontal="center" vertical="center"/>
    </xf>
    <xf numFmtId="0" fontId="28" fillId="2" borderId="10" xfId="1" applyFont="1" applyBorder="1" applyAlignment="1">
      <alignment horizontal="center" vertical="center"/>
    </xf>
    <xf numFmtId="0" fontId="31" fillId="23" borderId="4" xfId="1" applyFont="1" applyFill="1" applyBorder="1" applyAlignment="1">
      <alignment horizontal="center" vertical="center"/>
    </xf>
    <xf numFmtId="0" fontId="31" fillId="23" borderId="9" xfId="1" applyFont="1" applyFill="1" applyBorder="1" applyAlignment="1">
      <alignment horizontal="center" vertical="center"/>
    </xf>
    <xf numFmtId="0" fontId="29" fillId="23" borderId="5" xfId="1" applyFont="1" applyFill="1" applyBorder="1" applyAlignment="1">
      <alignment horizontal="center" vertical="center"/>
    </xf>
    <xf numFmtId="0" fontId="29" fillId="23" borderId="10" xfId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25">
    <cellStyle name="20% - Ênfase1" xfId="6" builtinId="30"/>
    <cellStyle name="20% - Ênfase2" xfId="9" builtinId="34"/>
    <cellStyle name="20% - Ênfase4" xfId="14" builtinId="42"/>
    <cellStyle name="20% - Ênfase5" xfId="17" builtinId="46"/>
    <cellStyle name="20% - Ênfase6" xfId="20" builtinId="50"/>
    <cellStyle name="40% - Ênfase1" xfId="7" builtinId="31"/>
    <cellStyle name="40% - Ênfase2" xfId="10" builtinId="35"/>
    <cellStyle name="40% - Ênfase4" xfId="15" builtinId="43"/>
    <cellStyle name="40% - Ênfase6" xfId="21" builtinId="51"/>
    <cellStyle name="60% - Ênfase1" xfId="23" builtinId="32"/>
    <cellStyle name="60% - Ênfase3" xfId="12" builtinId="40"/>
    <cellStyle name="60% - Ênfase5" xfId="18" builtinId="48"/>
    <cellStyle name="60% - Ênfase6" xfId="22" builtinId="52"/>
    <cellStyle name="Bom" xfId="24" builtinId="26"/>
    <cellStyle name="Ênfase1" xfId="5" builtinId="29"/>
    <cellStyle name="Ênfase2" xfId="8" builtinId="33"/>
    <cellStyle name="Ênfase3" xfId="11" builtinId="37"/>
    <cellStyle name="Ênfase4" xfId="13" builtinId="41"/>
    <cellStyle name="Ênfase5" xfId="16" builtinId="45"/>
    <cellStyle name="Ênfase6" xfId="19" builtinId="49"/>
    <cellStyle name="Entrada" xfId="3" builtinId="20"/>
    <cellStyle name="Neutro" xfId="2" builtinId="28"/>
    <cellStyle name="Normal" xfId="0" builtinId="0"/>
    <cellStyle name="Nota" xfId="4" builtinId="10"/>
    <cellStyle name="Ruim" xfId="1" builtinId="27"/>
  </cellStyles>
  <dxfs count="20"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4</xdr:row>
      <xdr:rowOff>19050</xdr:rowOff>
    </xdr:from>
    <xdr:to>
      <xdr:col>0</xdr:col>
      <xdr:colOff>590550</xdr:colOff>
      <xdr:row>4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5</xdr:row>
      <xdr:rowOff>9525</xdr:rowOff>
    </xdr:from>
    <xdr:to>
      <xdr:col>0</xdr:col>
      <xdr:colOff>590550</xdr:colOff>
      <xdr:row>5</xdr:row>
      <xdr:rowOff>180975</xdr:rowOff>
    </xdr:to>
    <xdr:sp macro="" textlink="">
      <xdr:nvSpPr>
        <xdr:cNvPr id="1031" name="Button 7" hidden="1">
          <a:extLst>
            <a:ext uri="{63B3BB69-23CF-44E3-9099-C40C66FF867C}">
              <a14:compatExt xmlns:a14="http://schemas.microsoft.com/office/drawing/2010/main" spid="_x0000_s1031"/>
            </a:ex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6</xdr:row>
      <xdr:rowOff>9525</xdr:rowOff>
    </xdr:from>
    <xdr:to>
      <xdr:col>0</xdr:col>
      <xdr:colOff>590550</xdr:colOff>
      <xdr:row>6</xdr:row>
      <xdr:rowOff>180975</xdr:rowOff>
    </xdr:to>
    <xdr:sp macro="" textlink="">
      <xdr:nvSpPr>
        <xdr:cNvPr id="1032" name="Button 8" hidden="1">
          <a:extLst>
            <a:ext uri="{63B3BB69-23CF-44E3-9099-C40C66FF867C}">
              <a14:compatExt xmlns:a14="http://schemas.microsoft.com/office/drawing/2010/main" spid="_x0000_s1032"/>
            </a:ex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8</xdr:row>
      <xdr:rowOff>19050</xdr:rowOff>
    </xdr:from>
    <xdr:to>
      <xdr:col>0</xdr:col>
      <xdr:colOff>590550</xdr:colOff>
      <xdr:row>8</xdr:row>
      <xdr:rowOff>190500</xdr:rowOff>
    </xdr:to>
    <xdr:sp macro="" textlink="">
      <xdr:nvSpPr>
        <xdr:cNvPr id="1033" name="Button 9" hidden="1">
          <a:extLst>
            <a:ext uri="{63B3BB69-23CF-44E3-9099-C40C66FF867C}">
              <a14:compatExt xmlns:a14="http://schemas.microsoft.com/office/drawing/2010/main" spid="_x0000_s1033"/>
            </a:ex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9</xdr:row>
      <xdr:rowOff>9525</xdr:rowOff>
    </xdr:from>
    <xdr:to>
      <xdr:col>0</xdr:col>
      <xdr:colOff>590550</xdr:colOff>
      <xdr:row>9</xdr:row>
      <xdr:rowOff>180975</xdr:rowOff>
    </xdr:to>
    <xdr:sp macro="" textlink="">
      <xdr:nvSpPr>
        <xdr:cNvPr id="1034" name="Button 10" hidden="1">
          <a:extLst>
            <a:ext uri="{63B3BB69-23CF-44E3-9099-C40C66FF867C}">
              <a14:compatExt xmlns:a14="http://schemas.microsoft.com/office/drawing/2010/main" spid="_x0000_s1034"/>
            </a:ex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10</xdr:row>
      <xdr:rowOff>9525</xdr:rowOff>
    </xdr:from>
    <xdr:to>
      <xdr:col>0</xdr:col>
      <xdr:colOff>590550</xdr:colOff>
      <xdr:row>10</xdr:row>
      <xdr:rowOff>180975</xdr:rowOff>
    </xdr:to>
    <xdr:sp macro="" textlink="">
      <xdr:nvSpPr>
        <xdr:cNvPr id="1035" name="Button 11" hidden="1">
          <a:extLst>
            <a:ext uri="{63B3BB69-23CF-44E3-9099-C40C66FF867C}">
              <a14:compatExt xmlns:a14="http://schemas.microsoft.com/office/drawing/2010/main" spid="_x0000_s1035"/>
            </a:ex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11</xdr:row>
      <xdr:rowOff>9525</xdr:rowOff>
    </xdr:from>
    <xdr:to>
      <xdr:col>0</xdr:col>
      <xdr:colOff>590550</xdr:colOff>
      <xdr:row>11</xdr:row>
      <xdr:rowOff>180975</xdr:rowOff>
    </xdr:to>
    <xdr:sp macro="" textlink="">
      <xdr:nvSpPr>
        <xdr:cNvPr id="1036" name="Button 12" hidden="1">
          <a:extLst>
            <a:ext uri="{63B3BB69-23CF-44E3-9099-C40C66FF867C}">
              <a14:compatExt xmlns:a14="http://schemas.microsoft.com/office/drawing/2010/main" spid="_x0000_s1036"/>
            </a:ex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13</xdr:row>
      <xdr:rowOff>9525</xdr:rowOff>
    </xdr:from>
    <xdr:to>
      <xdr:col>0</xdr:col>
      <xdr:colOff>590550</xdr:colOff>
      <xdr:row>13</xdr:row>
      <xdr:rowOff>180975</xdr:rowOff>
    </xdr:to>
    <xdr:sp macro="" textlink="">
      <xdr:nvSpPr>
        <xdr:cNvPr id="1039" name="Button 15" hidden="1">
          <a:extLst>
            <a:ext uri="{63B3BB69-23CF-44E3-9099-C40C66FF867C}">
              <a14:compatExt xmlns:a14="http://schemas.microsoft.com/office/drawing/2010/main" spid="_x0000_s1039"/>
            </a:ex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14</xdr:row>
      <xdr:rowOff>9525</xdr:rowOff>
    </xdr:from>
    <xdr:to>
      <xdr:col>0</xdr:col>
      <xdr:colOff>590550</xdr:colOff>
      <xdr:row>14</xdr:row>
      <xdr:rowOff>180975</xdr:rowOff>
    </xdr:to>
    <xdr:sp macro="" textlink="">
      <xdr:nvSpPr>
        <xdr:cNvPr id="1040" name="Button 16" hidden="1">
          <a:extLst>
            <a:ext uri="{63B3BB69-23CF-44E3-9099-C40C66FF867C}">
              <a14:compatExt xmlns:a14="http://schemas.microsoft.com/office/drawing/2010/main" spid="_x0000_s1040"/>
            </a:ex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15</xdr:row>
      <xdr:rowOff>9525</xdr:rowOff>
    </xdr:from>
    <xdr:to>
      <xdr:col>0</xdr:col>
      <xdr:colOff>590550</xdr:colOff>
      <xdr:row>15</xdr:row>
      <xdr:rowOff>180975</xdr:rowOff>
    </xdr:to>
    <xdr:sp macro="" textlink="">
      <xdr:nvSpPr>
        <xdr:cNvPr id="1041" name="Button 17" hidden="1">
          <a:extLst>
            <a:ext uri="{63B3BB69-23CF-44E3-9099-C40C66FF867C}">
              <a14:compatExt xmlns:a14="http://schemas.microsoft.com/office/drawing/2010/main" spid="_x0000_s1041"/>
            </a:ex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17</xdr:row>
      <xdr:rowOff>9525</xdr:rowOff>
    </xdr:from>
    <xdr:to>
      <xdr:col>0</xdr:col>
      <xdr:colOff>590550</xdr:colOff>
      <xdr:row>17</xdr:row>
      <xdr:rowOff>180975</xdr:rowOff>
    </xdr:to>
    <xdr:sp macro="" textlink="">
      <xdr:nvSpPr>
        <xdr:cNvPr id="1042" name="Button 18" hidden="1">
          <a:extLst>
            <a:ext uri="{63B3BB69-23CF-44E3-9099-C40C66FF867C}">
              <a14:compatExt xmlns:a14="http://schemas.microsoft.com/office/drawing/2010/main" spid="_x0000_s1042"/>
            </a:ex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18</xdr:row>
      <xdr:rowOff>9525</xdr:rowOff>
    </xdr:from>
    <xdr:to>
      <xdr:col>0</xdr:col>
      <xdr:colOff>590550</xdr:colOff>
      <xdr:row>18</xdr:row>
      <xdr:rowOff>180975</xdr:rowOff>
    </xdr:to>
    <xdr:sp macro="" textlink="">
      <xdr:nvSpPr>
        <xdr:cNvPr id="1043" name="Button 19" hidden="1">
          <a:extLst>
            <a:ext uri="{63B3BB69-23CF-44E3-9099-C40C66FF867C}">
              <a14:compatExt xmlns:a14="http://schemas.microsoft.com/office/drawing/2010/main" spid="_x0000_s1043"/>
            </a:ex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19</xdr:row>
      <xdr:rowOff>9525</xdr:rowOff>
    </xdr:from>
    <xdr:to>
      <xdr:col>0</xdr:col>
      <xdr:colOff>590550</xdr:colOff>
      <xdr:row>19</xdr:row>
      <xdr:rowOff>180975</xdr:rowOff>
    </xdr:to>
    <xdr:sp macro="" textlink="">
      <xdr:nvSpPr>
        <xdr:cNvPr id="1044" name="Button 20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20</xdr:row>
      <xdr:rowOff>9525</xdr:rowOff>
    </xdr:from>
    <xdr:to>
      <xdr:col>0</xdr:col>
      <xdr:colOff>590550</xdr:colOff>
      <xdr:row>20</xdr:row>
      <xdr:rowOff>180975</xdr:rowOff>
    </xdr:to>
    <xdr:sp macro="" textlink="">
      <xdr:nvSpPr>
        <xdr:cNvPr id="1045" name="Button 21" hidden="1">
          <a:extLst>
            <a:ext uri="{63B3BB69-23CF-44E3-9099-C40C66FF867C}">
              <a14:compatExt xmlns:a14="http://schemas.microsoft.com/office/drawing/2010/main" spid="_x0000_s1045"/>
            </a:ex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21</xdr:row>
      <xdr:rowOff>9525</xdr:rowOff>
    </xdr:from>
    <xdr:to>
      <xdr:col>0</xdr:col>
      <xdr:colOff>590550</xdr:colOff>
      <xdr:row>21</xdr:row>
      <xdr:rowOff>180975</xdr:rowOff>
    </xdr:to>
    <xdr:sp macro="" textlink="">
      <xdr:nvSpPr>
        <xdr:cNvPr id="1046" name="Button 22" hidden="1">
          <a:extLst>
            <a:ext uri="{63B3BB69-23CF-44E3-9099-C40C66FF867C}">
              <a14:compatExt xmlns:a14="http://schemas.microsoft.com/office/drawing/2010/main" spid="_x0000_s1046"/>
            </a:ex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22</xdr:row>
      <xdr:rowOff>9525</xdr:rowOff>
    </xdr:from>
    <xdr:to>
      <xdr:col>0</xdr:col>
      <xdr:colOff>590550</xdr:colOff>
      <xdr:row>22</xdr:row>
      <xdr:rowOff>180975</xdr:rowOff>
    </xdr:to>
    <xdr:sp macro="" textlink="">
      <xdr:nvSpPr>
        <xdr:cNvPr id="1047" name="Button 23" hidden="1">
          <a:extLst>
            <a:ext uri="{63B3BB69-23CF-44E3-9099-C40C66FF867C}">
              <a14:compatExt xmlns:a14="http://schemas.microsoft.com/office/drawing/2010/main" spid="_x0000_s1047"/>
            </a:ex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23</xdr:row>
      <xdr:rowOff>9525</xdr:rowOff>
    </xdr:from>
    <xdr:to>
      <xdr:col>0</xdr:col>
      <xdr:colOff>590550</xdr:colOff>
      <xdr:row>23</xdr:row>
      <xdr:rowOff>180975</xdr:rowOff>
    </xdr:to>
    <xdr:sp macro="" textlink="">
      <xdr:nvSpPr>
        <xdr:cNvPr id="1048" name="Button 24" hidden="1">
          <a:extLst>
            <a:ext uri="{63B3BB69-23CF-44E3-9099-C40C66FF867C}">
              <a14:compatExt xmlns:a14="http://schemas.microsoft.com/office/drawing/2010/main" spid="_x0000_s1048"/>
            </a:ex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0</xdr:col>
      <xdr:colOff>419100</xdr:colOff>
      <xdr:row>24</xdr:row>
      <xdr:rowOff>9525</xdr:rowOff>
    </xdr:from>
    <xdr:to>
      <xdr:col>0</xdr:col>
      <xdr:colOff>590550</xdr:colOff>
      <xdr:row>24</xdr:row>
      <xdr:rowOff>180975</xdr:rowOff>
    </xdr:to>
    <xdr:sp macro="" textlink="">
      <xdr:nvSpPr>
        <xdr:cNvPr id="1049" name="Button 25" hidden="1">
          <a:extLst>
            <a:ext uri="{63B3BB69-23CF-44E3-9099-C40C66FF867C}">
              <a14:compatExt xmlns:a14="http://schemas.microsoft.com/office/drawing/2010/main" spid="_x0000_s1049"/>
            </a:ex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32004" rIns="36576" bIns="32004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+</a:t>
          </a:r>
        </a:p>
      </xdr:txBody>
    </xdr:sp>
    <xdr:clientData fPrintsWithSheet="0"/>
  </xdr:twoCellAnchor>
  <xdr:twoCellAnchor>
    <xdr:from>
      <xdr:col>9</xdr:col>
      <xdr:colOff>333375</xdr:colOff>
      <xdr:row>1</xdr:row>
      <xdr:rowOff>38100</xdr:rowOff>
    </xdr:from>
    <xdr:to>
      <xdr:col>9</xdr:col>
      <xdr:colOff>695325</xdr:colOff>
      <xdr:row>2</xdr:row>
      <xdr:rowOff>152400</xdr:rowOff>
    </xdr:to>
    <xdr:sp macro="" textlink="">
      <xdr:nvSpPr>
        <xdr:cNvPr id="1051" name="XPPlus" hidden="1">
          <a:extLst>
            <a:ext uri="{63B3BB69-23CF-44E3-9099-C40C66FF867C}">
              <a14:compatExt xmlns:a14="http://schemas.microsoft.com/office/drawing/2010/main" spid="_x0000_s1051"/>
            </a:ex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142875</xdr:colOff>
      <xdr:row>30</xdr:row>
      <xdr:rowOff>95250</xdr:rowOff>
    </xdr:from>
    <xdr:to>
      <xdr:col>14</xdr:col>
      <xdr:colOff>47625</xdr:colOff>
      <xdr:row>31</xdr:row>
      <xdr:rowOff>285750</xdr:rowOff>
    </xdr:to>
    <xdr:sp macro="" textlink="">
      <xdr:nvSpPr>
        <xdr:cNvPr id="1052" name="CommandButton1" hidden="1">
          <a:extLst>
            <a:ext uri="{63B3BB69-23CF-44E3-9099-C40C66FF867C}">
              <a14:compatExt xmlns:a14="http://schemas.microsoft.com/office/drawing/2010/main" spid="_x0000_s1052"/>
            </a:ex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152400</xdr:colOff>
      <xdr:row>0</xdr:row>
      <xdr:rowOff>0</xdr:rowOff>
    </xdr:from>
    <xdr:to>
      <xdr:col>9</xdr:col>
      <xdr:colOff>704850</xdr:colOff>
      <xdr:row>30</xdr:row>
      <xdr:rowOff>171450</xdr:rowOff>
    </xdr:to>
    <xdr:pic>
      <xdr:nvPicPr>
        <xdr:cNvPr id="2" name="">
          <a:extLst>
            <a:ext uri="{FF2B5EF4-FFF2-40B4-BE49-F238E27FC236}">
              <a16:creationId xmlns:a16="http://schemas.microsoft.com/office/drawing/2014/main" id="{AA543635-2BB9-4FF7-A6A0-95596E6375B8}"/>
            </a:ext>
            <a:ext uri="{147F2762-F138-4A5C-976F-8EAC2B608ADB}">
              <a16:predDERef xmlns:a16="http://schemas.microsoft.com/office/drawing/2014/main" pred="{00000000-0008-0000-0000-00001C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19475" y="0"/>
          <a:ext cx="5705475" cy="59817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H33:K37" headerRowCount="0" totalsRowShown="0" headerRowDxfId="19" dataDxfId="18">
  <tableColumns count="4">
    <tableColumn id="1" xr3:uid="{00000000-0010-0000-0000-000001000000}" name="Column1" dataDxfId="17"/>
    <tableColumn id="2" xr3:uid="{00000000-0010-0000-0000-000002000000}" name="Column2" dataDxfId="16"/>
    <tableColumn id="3" xr3:uid="{00000000-0010-0000-0000-000003000000}" name="Column3" dataDxfId="15"/>
    <tableColumn id="4" xr3:uid="{00000000-0010-0000-0000-000004000000}" name="Column4" headerRowDxfId="14" dataDxfId="13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P5:R10" headerRowCount="0" totalsRowShown="0">
  <tableColumns count="3">
    <tableColumn id="1" xr3:uid="{00000000-0010-0000-0100-000001000000}" name="Column1" dataDxfId="12"/>
    <tableColumn id="2" xr3:uid="{00000000-0010-0000-0100-000002000000}" name="Column2" dataDxfId="11"/>
    <tableColumn id="3" xr3:uid="{00000000-0010-0000-0100-000003000000}" name="Column3" dataDxfId="10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73" displayName="Table73" ref="P33:U36" headerRowCount="0" totalsRowShown="0" headerRowDxfId="9" dataDxfId="8">
  <tableColumns count="6">
    <tableColumn id="1" xr3:uid="{00000000-0010-0000-0200-000001000000}" name="Column1" dataDxfId="7"/>
    <tableColumn id="2" xr3:uid="{00000000-0010-0000-0200-000002000000}" name="Column2" dataDxfId="6"/>
    <tableColumn id="3" xr3:uid="{00000000-0010-0000-0200-000003000000}" name="Column3" dataDxfId="5"/>
    <tableColumn id="4" xr3:uid="{00000000-0010-0000-0200-000004000000}" name="Column4" dataDxfId="4"/>
    <tableColumn id="5" xr3:uid="{00000000-0010-0000-0200-000005000000}" name="Column5" headerRowDxfId="3" dataDxfId="2"/>
    <tableColumn id="6" xr3:uid="{00000000-0010-0000-0200-000006000000}" name="Column6" headerRowDxfId="1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7"/>
  <sheetViews>
    <sheetView showGridLines="0" tabSelected="1" topLeftCell="A30" zoomScale="85" zoomScaleNormal="85" workbookViewId="0" xr3:uid="{AEA406A1-0E4B-5B11-9CD5-51D6E497D94C}">
      <selection activeCell="I42" sqref="I42"/>
    </sheetView>
  </sheetViews>
  <sheetFormatPr defaultRowHeight="15"/>
  <cols>
    <col min="2" max="2" width="11.5703125" customWidth="1"/>
    <col min="3" max="3" width="5.7109375" customWidth="1"/>
    <col min="4" max="4" width="6.140625" customWidth="1"/>
    <col min="5" max="5" width="5.5703125" customWidth="1"/>
    <col min="6" max="6" width="10.85546875" customWidth="1"/>
    <col min="7" max="7" width="2.85546875" customWidth="1"/>
    <col min="8" max="8" width="12" customWidth="1"/>
    <col min="9" max="9" width="62.4257812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0.42578125" customWidth="1"/>
    <col min="17" max="17" width="15.7109375" customWidth="1"/>
    <col min="18" max="18" width="47.28515625" customWidth="1"/>
    <col min="19" max="19" width="12.140625" customWidth="1"/>
    <col min="20" max="21" width="9" customWidth="1"/>
    <col min="22" max="22" width="9.140625" customWidth="1"/>
  </cols>
  <sheetData>
    <row r="1" spans="1:21" ht="15.75" thickBot="1"/>
    <row r="2" spans="1:21" ht="15" customHeight="1" thickTop="1" thickBot="1">
      <c r="A2" s="13"/>
      <c r="B2" s="77" t="str">
        <f>IF(L24 = 0,"Attributes","Atributos")</f>
        <v>Attributes</v>
      </c>
      <c r="C2" s="78"/>
      <c r="D2" s="78"/>
      <c r="E2" s="78"/>
      <c r="F2" s="79"/>
      <c r="H2" s="45" t="str">
        <f>IF(L24 = 0, "Name:", "Nome:")</f>
        <v>Name:</v>
      </c>
      <c r="I2" s="51"/>
      <c r="K2" s="163" t="s">
        <v>0</v>
      </c>
      <c r="L2" s="159">
        <v>0</v>
      </c>
      <c r="M2" s="159"/>
      <c r="N2" s="160"/>
      <c r="P2" s="167" t="str">
        <f>IF(L24=0,"Inventory", "Inventário")</f>
        <v>Inventory</v>
      </c>
      <c r="Q2" s="167"/>
      <c r="R2" s="167"/>
      <c r="T2" s="147" t="str">
        <f>IF(L24=0, "Movement", "Movimento")</f>
        <v>Movement</v>
      </c>
      <c r="U2" s="148"/>
    </row>
    <row r="3" spans="1:21" ht="15.75" customHeight="1" thickBot="1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K3" s="164"/>
      <c r="L3" s="161"/>
      <c r="M3" s="161"/>
      <c r="N3" s="162"/>
      <c r="O3" s="2"/>
      <c r="P3" s="167"/>
      <c r="Q3" s="167"/>
      <c r="R3" s="167"/>
      <c r="T3" s="53" t="str">
        <f>IF(L24=0, "Normal", "Normal")</f>
        <v>Normal</v>
      </c>
      <c r="U3" s="55">
        <f>IF(L29 &gt; 7, 7, IF(L29 &lt; 4, 5, 6))</f>
        <v>6</v>
      </c>
    </row>
    <row r="4" spans="1:21" ht="15" customHeight="1" thickBot="1">
      <c r="A4" s="13"/>
      <c r="B4" s="119" t="str">
        <f>IF(L24 = 0,"Physical","Físicos")</f>
        <v>Physical</v>
      </c>
      <c r="C4" s="120"/>
      <c r="D4" s="120"/>
      <c r="E4" s="120"/>
      <c r="F4" s="121"/>
      <c r="K4" s="163" t="s">
        <v>1</v>
      </c>
      <c r="L4" s="159">
        <v>1</v>
      </c>
      <c r="M4" s="159"/>
      <c r="N4" s="160"/>
      <c r="P4" s="46" t="s">
        <v>2</v>
      </c>
      <c r="Q4" s="46" t="str">
        <f>IF(L24 = 0, "Item", "Item")</f>
        <v>Item</v>
      </c>
      <c r="R4" s="46" t="str">
        <f>IF(L24 = 0, "Description", "Descrição")</f>
        <v>Description</v>
      </c>
      <c r="T4" s="54" t="str">
        <f>IF(L24=0, "Difficult", "Difícil")</f>
        <v>Difficult</v>
      </c>
      <c r="U4" s="56">
        <f>IF(L29 &gt; 7, 3, IF(L29 &lt; 4, 5, 4))</f>
        <v>4</v>
      </c>
    </row>
    <row r="5" spans="1:21" ht="15.75" customHeight="1" thickBot="1">
      <c r="A5" s="13"/>
      <c r="B5" s="14" t="str">
        <f>IF(L24 = 0,"Agility","Agilidade")</f>
        <v>Agility</v>
      </c>
      <c r="C5" s="3">
        <f>IFERROR(_xlfn.NUMBERVALUE(D5), 0) * (IFERROR(_xlfn.NUMBERVALUE(D5), 0) + 1) / 2</f>
        <v>21</v>
      </c>
      <c r="D5" s="3">
        <v>6</v>
      </c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2d8</v>
      </c>
      <c r="K5" s="164"/>
      <c r="L5" s="161"/>
      <c r="M5" s="161"/>
      <c r="N5" s="162"/>
      <c r="P5" s="47">
        <v>1</v>
      </c>
      <c r="Q5" s="47" t="s">
        <v>3</v>
      </c>
      <c r="R5" s="48" t="s">
        <v>4</v>
      </c>
    </row>
    <row r="6" spans="1:21" ht="15" customHeight="1" thickBot="1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1</v>
      </c>
      <c r="D6" s="4">
        <v>1</v>
      </c>
      <c r="E6" s="4"/>
      <c r="F6" s="17" t="str">
        <f t="shared" si="0"/>
        <v>1d4</v>
      </c>
      <c r="L6" s="1"/>
      <c r="M6" s="1"/>
      <c r="N6" s="1"/>
      <c r="P6" s="47">
        <v>25</v>
      </c>
      <c r="Q6" s="47" t="s">
        <v>5</v>
      </c>
      <c r="R6" s="48" t="s">
        <v>6</v>
      </c>
      <c r="T6" s="149" t="s">
        <v>7</v>
      </c>
      <c r="U6" s="151">
        <f>8 + L14 + N14</f>
        <v>12</v>
      </c>
    </row>
    <row r="7" spans="1:21" ht="15" customHeight="1" thickBot="1">
      <c r="A7" s="13"/>
      <c r="B7" s="18" t="str">
        <f>IF(L24 = 0,"Might","Força")</f>
        <v>Might</v>
      </c>
      <c r="C7" s="3">
        <f t="shared" si="1"/>
        <v>6</v>
      </c>
      <c r="D7" s="5">
        <v>3</v>
      </c>
      <c r="E7" s="5"/>
      <c r="F7" s="19" t="str">
        <f t="shared" si="0"/>
        <v>1d8</v>
      </c>
      <c r="K7" s="165" t="s">
        <v>8</v>
      </c>
      <c r="L7" s="168"/>
      <c r="M7" s="170" t="s">
        <v>9</v>
      </c>
      <c r="N7" s="172">
        <f>IF(8+2*(D6+E6)+2*(D16+E16)+D12+E12+_xlfn.FLOOR.MATH(1.5*(D7+E7))+2*L4&gt;0,8+2*(D6+E6)+2*(D16+E16)+D12+E12+_xlfn.FLOOR.MATH(1.5*(D7+E7))+2*L4,1)</f>
        <v>21</v>
      </c>
      <c r="P7" s="47">
        <v>1</v>
      </c>
      <c r="Q7" s="47" t="s">
        <v>10</v>
      </c>
      <c r="R7" s="48" t="s">
        <v>11</v>
      </c>
      <c r="T7" s="150"/>
      <c r="U7" s="152"/>
    </row>
    <row r="8" spans="1:21" ht="15" customHeight="1" thickBot="1">
      <c r="A8" s="13"/>
      <c r="B8" s="116" t="str">
        <f>IF(L24 = 0,"Mental","Mentais")</f>
        <v>Mental</v>
      </c>
      <c r="C8" s="117"/>
      <c r="D8" s="117"/>
      <c r="E8" s="117"/>
      <c r="F8" s="118"/>
      <c r="K8" s="166"/>
      <c r="L8" s="169"/>
      <c r="M8" s="171"/>
      <c r="N8" s="173"/>
      <c r="P8" s="47">
        <v>90</v>
      </c>
      <c r="Q8" s="47" t="s">
        <v>12</v>
      </c>
      <c r="R8" s="48" t="s">
        <v>13</v>
      </c>
    </row>
    <row r="9" spans="1:21" ht="15.75" customHeight="1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3</v>
      </c>
      <c r="D9" s="8">
        <v>2</v>
      </c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1d6</v>
      </c>
      <c r="K9" s="141" t="s">
        <v>14</v>
      </c>
      <c r="L9" s="90"/>
      <c r="M9" s="174" t="s">
        <v>9</v>
      </c>
      <c r="N9" s="176">
        <f xml:space="preserve"> IF(10 + 3*(D9 + E9) + 2*(D12 + E12) + _xlfn.CEILING.MATH(1.5*MAX(D18+E18, D19+E19, D20+E20, D21+E21, D22+E22, D23+E23, D24+E24, D25+E25)) &gt; 0, 10 + 3*(D9 + E9) + 2*(D12 + E12) + _xlfn.CEILING.MATH(1.5*MAX(D18+E18, D19+E19, D20+E20, D21+E21, D22+E22, D23+E23, D24+E24, D25+E25)), 1)</f>
        <v>18</v>
      </c>
      <c r="P9" s="47">
        <v>3</v>
      </c>
      <c r="Q9" s="47" t="s">
        <v>15</v>
      </c>
      <c r="R9" s="48" t="s">
        <v>16</v>
      </c>
    </row>
    <row r="10" spans="1:21" ht="15" customHeight="1" thickBot="1">
      <c r="A10" s="13"/>
      <c r="B10" s="22" t="str">
        <f>IF(L24 = 0,"Logic","Lógica")</f>
        <v>Logic</v>
      </c>
      <c r="C10" s="9">
        <f t="shared" si="2"/>
        <v>1</v>
      </c>
      <c r="D10" s="9">
        <v>1</v>
      </c>
      <c r="E10" s="9"/>
      <c r="F10" s="23" t="str">
        <f t="shared" si="3"/>
        <v>1d4</v>
      </c>
      <c r="K10" s="142"/>
      <c r="L10" s="91"/>
      <c r="M10" s="175"/>
      <c r="N10" s="177"/>
      <c r="P10" s="47">
        <v>0</v>
      </c>
      <c r="Q10" s="47" t="s">
        <v>17</v>
      </c>
      <c r="R10" s="48" t="s">
        <v>18</v>
      </c>
    </row>
    <row r="11" spans="1:21" ht="15" customHeight="1" thickBot="1">
      <c r="A11" s="13"/>
      <c r="B11" s="20" t="str">
        <f>IF(L24 = 0,"Perception","Percepção")</f>
        <v>Perception</v>
      </c>
      <c r="C11" s="8">
        <f t="shared" si="2"/>
        <v>3</v>
      </c>
      <c r="D11" s="8">
        <v>2</v>
      </c>
      <c r="E11" s="8"/>
      <c r="F11" s="21" t="str">
        <f t="shared" si="3"/>
        <v>1d6</v>
      </c>
      <c r="P11" s="47"/>
      <c r="Q11" s="47"/>
      <c r="R11" s="48"/>
    </row>
    <row r="12" spans="1:21" ht="15" customHeight="1" thickBot="1">
      <c r="A12" s="13"/>
      <c r="B12" s="22" t="str">
        <f>IF(L24 = 0,"Will","Vontade")</f>
        <v>Will</v>
      </c>
      <c r="C12" s="9">
        <f t="shared" si="2"/>
        <v>1</v>
      </c>
      <c r="D12" s="9">
        <v>1</v>
      </c>
      <c r="E12" s="9"/>
      <c r="F12" s="23" t="str">
        <f t="shared" si="3"/>
        <v>1d4</v>
      </c>
      <c r="K12" s="143" t="str">
        <f>IF(L24 = 0, "GUARD", "GUARD")</f>
        <v>GUARD</v>
      </c>
      <c r="L12" s="145">
        <f>IF(OR(1.5*(D7) &lt; D5, IFERROR(_xlfn.NUMBERVALUE(L29), 0) = 0), 0, _xlfn.FLOOR.MATH(1*(D7 + E7) + 0.75*(D6 + E6) + 0.5*(D25 + E25) + (L29-5)))</f>
        <v>0</v>
      </c>
      <c r="M12" s="145" t="str">
        <f>IF(N12 &gt; 0, "+", "")</f>
        <v/>
      </c>
      <c r="N12" s="88"/>
      <c r="P12" s="47"/>
      <c r="Q12" s="47"/>
      <c r="R12" s="48"/>
    </row>
    <row r="13" spans="1:21" ht="15" customHeight="1">
      <c r="A13" s="13"/>
      <c r="B13" s="113" t="str">
        <f>IF(L24 = 0,"Social","Sociais")</f>
        <v>Social</v>
      </c>
      <c r="C13" s="114"/>
      <c r="D13" s="114"/>
      <c r="E13" s="114"/>
      <c r="F13" s="115"/>
      <c r="K13" s="144"/>
      <c r="L13" s="146"/>
      <c r="M13" s="146"/>
      <c r="N13" s="89"/>
      <c r="P13" s="47"/>
      <c r="Q13" s="47"/>
      <c r="R13" s="48"/>
    </row>
    <row r="14" spans="1:21" ht="15" customHeight="1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0</v>
      </c>
      <c r="D14" s="10"/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1d2</v>
      </c>
      <c r="K14" s="108" t="str">
        <f>IF(L24 = 0, "DODGE", "EVASÃO")</f>
        <v>DODGE</v>
      </c>
      <c r="L14" s="94">
        <f>IF(AND(D7&gt;1.5*(D5), ROUND(0.75*(D5 + E5) + 0.5*(D11 + E11) - 0.5*(D7 + E7) - 0.5*(L29 - 5), 0) &gt; 0), 0, ROUND(0.75*(D5 + E5) + 0.5*(D11 + E11)  - 0.5*(D7 + E7) - 0.5*(L29 - 5), 0))</f>
        <v>4</v>
      </c>
      <c r="M14" s="94" t="str">
        <f>IF(N14 &gt; 0, "+", "")</f>
        <v/>
      </c>
      <c r="N14" s="92"/>
      <c r="P14" s="47"/>
      <c r="Q14" s="47"/>
      <c r="R14" s="48"/>
    </row>
    <row r="15" spans="1:21" ht="15" customHeight="1" thickBot="1">
      <c r="A15" s="13"/>
      <c r="B15" s="26" t="str">
        <f>IF(L24 = 0,"Persuation","Persuasão")</f>
        <v>Persuation</v>
      </c>
      <c r="C15" s="12">
        <f t="shared" si="4"/>
        <v>1</v>
      </c>
      <c r="D15" s="12">
        <v>1</v>
      </c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1d4</v>
      </c>
      <c r="K15" s="109"/>
      <c r="L15" s="95"/>
      <c r="M15" s="95"/>
      <c r="N15" s="93"/>
      <c r="P15" s="47"/>
      <c r="Q15" s="47"/>
      <c r="R15" s="48"/>
    </row>
    <row r="16" spans="1:21" ht="15" customHeight="1" thickBot="1">
      <c r="A16" s="13"/>
      <c r="B16" s="28" t="str">
        <f>IF(L24 = 0,"Presence","Presença")</f>
        <v>Presence</v>
      </c>
      <c r="C16" s="11">
        <f t="shared" si="4"/>
        <v>3</v>
      </c>
      <c r="D16" s="11">
        <v>2</v>
      </c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1d6</v>
      </c>
      <c r="P16" s="47"/>
      <c r="Q16" s="47"/>
      <c r="R16" s="48"/>
    </row>
    <row r="17" spans="1:21" ht="15" customHeight="1">
      <c r="A17" s="13"/>
      <c r="B17" s="110" t="str">
        <f>IF(L24 = 0,"Extraordinary","Extraordinários")</f>
        <v>Extraordinary</v>
      </c>
      <c r="C17" s="111"/>
      <c r="D17" s="111"/>
      <c r="E17" s="111"/>
      <c r="F17" s="112"/>
      <c r="K17" s="100" t="str">
        <f>IF(L24 = 0, "Skill Points", "Pontos de Habilidade")</f>
        <v>Skill Points</v>
      </c>
      <c r="L17" s="101"/>
      <c r="M17" s="101"/>
      <c r="N17" s="157">
        <v>4</v>
      </c>
      <c r="P17" s="47"/>
      <c r="Q17" s="47"/>
      <c r="R17" s="48"/>
    </row>
    <row r="18" spans="1:21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02"/>
      <c r="L18" s="103"/>
      <c r="M18" s="103"/>
      <c r="N18" s="158"/>
      <c r="P18" s="47"/>
      <c r="Q18" s="47"/>
      <c r="R18" s="48"/>
    </row>
    <row r="19" spans="1:21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104" t="str">
        <f>IF(L24= 0, "Attribute Points", "Pontos de Atributo")</f>
        <v>Attribute Points</v>
      </c>
      <c r="L19" s="105"/>
      <c r="M19" s="105"/>
      <c r="N19" s="96">
        <v>40</v>
      </c>
      <c r="P19" s="47"/>
      <c r="Q19" s="47"/>
      <c r="R19" s="48"/>
    </row>
    <row r="20" spans="1:21">
      <c r="A20" s="13"/>
      <c r="B20" s="30" t="str">
        <f>IF(L24 = 0,"Energy","Energia")</f>
        <v>Energy</v>
      </c>
      <c r="C20" s="7">
        <f t="shared" si="7"/>
        <v>0</v>
      </c>
      <c r="D20" s="7"/>
      <c r="E20" s="7"/>
      <c r="F20" s="31" t="str">
        <f t="shared" si="8"/>
        <v>1d2</v>
      </c>
      <c r="K20" s="106"/>
      <c r="L20" s="107"/>
      <c r="M20" s="107"/>
      <c r="N20" s="97"/>
      <c r="P20" s="47"/>
      <c r="Q20" s="47"/>
      <c r="R20" s="48"/>
    </row>
    <row r="21" spans="1:21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153" t="str">
        <f>IF(L24 = 0, "Feat Points", "Pontos de Perícia")</f>
        <v>Feat Points</v>
      </c>
      <c r="L21" s="154"/>
      <c r="M21" s="154"/>
      <c r="N21" s="98">
        <v>6</v>
      </c>
      <c r="P21" s="47"/>
      <c r="Q21" s="47"/>
      <c r="R21" s="48"/>
    </row>
    <row r="22" spans="1:21" ht="15" customHeight="1" thickBot="1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155"/>
      <c r="L22" s="156"/>
      <c r="M22" s="156"/>
      <c r="N22" s="99"/>
      <c r="P22" s="47"/>
      <c r="Q22" s="47"/>
      <c r="R22" s="48"/>
    </row>
    <row r="23" spans="1:21" ht="15" customHeight="1" thickBot="1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P23" s="47"/>
      <c r="Q23" s="47"/>
      <c r="R23" s="48"/>
    </row>
    <row r="24" spans="1:21" ht="15" customHeight="1">
      <c r="A24" s="13"/>
      <c r="B24" s="30" t="str">
        <f>IF(L24 = 0,"Prescience","Preciência")</f>
        <v>Prescience</v>
      </c>
      <c r="C24" s="7">
        <f t="shared" si="7"/>
        <v>0</v>
      </c>
      <c r="D24" s="7"/>
      <c r="E24" s="7"/>
      <c r="F24" s="31" t="str">
        <f t="shared" si="8"/>
        <v>1d2</v>
      </c>
      <c r="K24" s="125" t="str">
        <f>IF(L24 = 0, "Language:", "Língua:")</f>
        <v>Language:</v>
      </c>
      <c r="L24" s="80">
        <v>0</v>
      </c>
      <c r="M24" s="80"/>
      <c r="N24" s="81"/>
      <c r="P24" s="47"/>
      <c r="Q24" s="47"/>
      <c r="R24" s="48"/>
    </row>
    <row r="25" spans="1:21" ht="15" customHeight="1" thickBot="1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26"/>
      <c r="L25" s="82"/>
      <c r="M25" s="82"/>
      <c r="N25" s="83"/>
      <c r="P25" s="47"/>
      <c r="Q25" s="47"/>
      <c r="R25" s="48"/>
    </row>
    <row r="26" spans="1:21" ht="16.5" thickTop="1" thickBot="1">
      <c r="K26" s="40">
        <v>0</v>
      </c>
      <c r="L26" s="86" t="str">
        <f>IF(L24 = 0,"English","Inglês")</f>
        <v>English</v>
      </c>
      <c r="M26" s="86"/>
      <c r="N26" s="87"/>
      <c r="P26" s="47"/>
      <c r="Q26" s="47"/>
      <c r="R26" s="48"/>
    </row>
    <row r="27" spans="1:21" ht="15.75" thickBot="1">
      <c r="B27" s="127" t="str">
        <f>IF(L24 = 0, "Defense Calculation", "Cálculo de Defesa")</f>
        <v>Defense Calculation</v>
      </c>
      <c r="C27" s="128"/>
      <c r="D27" s="128"/>
      <c r="E27" s="128"/>
      <c r="F27" s="129"/>
      <c r="K27" s="41">
        <v>1</v>
      </c>
      <c r="L27" s="84" t="str">
        <f>IF(L24 = 0,"Portuguese","Português")</f>
        <v>Portuguese</v>
      </c>
      <c r="M27" s="84"/>
      <c r="N27" s="85"/>
    </row>
    <row r="28" spans="1:21" ht="15.75" thickBot="1">
      <c r="B28" s="130" t="str">
        <f>IF(L24 = 0, "Pre-Defense", "Antes da Defesa")</f>
        <v>Pre-Defense</v>
      </c>
      <c r="C28" s="131"/>
      <c r="D28" s="138" t="str">
        <f>IF(L24 = 0, "Post-Defense", "Pós-Defesa")</f>
        <v>Post-Defense</v>
      </c>
      <c r="E28" s="139"/>
      <c r="F28" s="140"/>
    </row>
    <row r="29" spans="1:21" ht="15.75" thickBot="1">
      <c r="B29" s="132"/>
      <c r="C29" s="133"/>
      <c r="D29" s="133" t="str">
        <f>IF(B29 = "", "", IF(L14+N14 &lt; 0, B29 - (L12+N12), IF(ROUNDUP(B29 * 15/(L14+N14+15) - (L12+N12), 0) &gt;= 0, ROUNDUP(B29 * 15/(L14+N14+15) - (L12+N12), 0), 0)))</f>
        <v/>
      </c>
      <c r="E29" s="133"/>
      <c r="F29" s="136"/>
      <c r="K29" s="42" t="str">
        <f>IF(L24 = 0, "Size:", "Tamanho:")</f>
        <v>Size:</v>
      </c>
      <c r="L29" s="122">
        <v>5</v>
      </c>
      <c r="M29" s="123"/>
      <c r="N29" s="124"/>
    </row>
    <row r="30" spans="1:21" ht="15.75" customHeight="1" thickBot="1">
      <c r="B30" s="134"/>
      <c r="C30" s="135"/>
      <c r="D30" s="135"/>
      <c r="E30" s="135"/>
      <c r="F30" s="137"/>
    </row>
    <row r="31" spans="1:21" ht="19.5" thickBot="1">
      <c r="P31" s="63" t="s">
        <v>19</v>
      </c>
      <c r="Q31" s="63"/>
      <c r="R31" s="63"/>
      <c r="S31" s="63"/>
      <c r="T31" s="63"/>
      <c r="U31" s="63"/>
    </row>
    <row r="32" spans="1:21" ht="34.5" thickBot="1">
      <c r="B32" s="49" t="s">
        <v>20</v>
      </c>
      <c r="C32" s="76"/>
      <c r="D32" s="76"/>
      <c r="E32" s="62" t="s">
        <v>9</v>
      </c>
      <c r="F32" s="50">
        <f xml:space="preserve"> 8 + 3*(D6+E6) + 2*(D5+E5) + D7+E7 + 2*L4</f>
        <v>28</v>
      </c>
      <c r="H32" s="43" t="str">
        <f>IF(L24 = 0, "Skill / Perk / Feat", "Habilidade / Perícia")</f>
        <v>Skill / Perk / Feat</v>
      </c>
      <c r="I32" s="44" t="str">
        <f>IF(L24 = 0, "Description", "Descrição")</f>
        <v>Description</v>
      </c>
      <c r="J32" s="44" t="str">
        <f>IF(L24 = 0, "Attribute", "Atributo")</f>
        <v>Attribute</v>
      </c>
      <c r="K32" s="44" t="str">
        <f>IF(L24 = 0, "Cost", "Custo")</f>
        <v>Cost</v>
      </c>
      <c r="P32" s="52" t="str">
        <f>IF(L24=0,"Name","Nome")</f>
        <v>Name</v>
      </c>
      <c r="Q32" s="52" t="s">
        <v>21</v>
      </c>
      <c r="R32" s="52" t="str">
        <f>IF(L24=0,"Effect","Efeito")</f>
        <v>Effect</v>
      </c>
      <c r="S32" s="52" t="str">
        <f>IF(L24=0,"Defense","Defesa")</f>
        <v>Defense</v>
      </c>
      <c r="T32" s="58" t="s">
        <v>22</v>
      </c>
      <c r="U32" s="58" t="s">
        <v>23</v>
      </c>
    </row>
    <row r="33" spans="2:21" ht="30">
      <c r="H33" s="178" t="s">
        <v>24</v>
      </c>
      <c r="I33" s="57" t="s">
        <v>25</v>
      </c>
      <c r="J33" s="47" t="s">
        <v>26</v>
      </c>
      <c r="K33" s="47" t="s">
        <v>27</v>
      </c>
      <c r="P33" s="47"/>
      <c r="Q33" s="47"/>
      <c r="R33" s="59"/>
      <c r="S33" s="59"/>
      <c r="T33" s="60"/>
      <c r="U33" s="59"/>
    </row>
    <row r="34" spans="2:21" ht="30">
      <c r="B34" s="74" t="str">
        <f>IF(L24 = 0, "HP Dice", "Dado de HP")</f>
        <v>HP Dice</v>
      </c>
      <c r="C34" s="64"/>
      <c r="D34" s="64" t="str">
        <f>IF(L24 = 0,"Fortitude","Fortitude")</f>
        <v>Fortitude</v>
      </c>
      <c r="E34" s="64"/>
      <c r="F34" s="65"/>
      <c r="H34" s="178" t="s">
        <v>28</v>
      </c>
      <c r="I34" s="57" t="s">
        <v>29</v>
      </c>
      <c r="J34" s="47" t="s">
        <v>26</v>
      </c>
      <c r="K34" s="47" t="s">
        <v>26</v>
      </c>
      <c r="P34" s="59"/>
      <c r="Q34" s="47"/>
      <c r="R34" s="57"/>
      <c r="S34" s="59"/>
      <c r="T34" s="61"/>
      <c r="U34" s="59"/>
    </row>
    <row r="35" spans="2:21" ht="30">
      <c r="B35" s="75"/>
      <c r="C35" s="66"/>
      <c r="D35" s="66"/>
      <c r="E35" s="66"/>
      <c r="F35" s="67"/>
      <c r="H35" s="178" t="s">
        <v>30</v>
      </c>
      <c r="I35" s="57" t="s">
        <v>31</v>
      </c>
      <c r="J35" s="47" t="s">
        <v>26</v>
      </c>
      <c r="K35" s="47" t="s">
        <v>26</v>
      </c>
      <c r="P35" s="59"/>
      <c r="Q35" s="47"/>
      <c r="R35" s="57"/>
      <c r="S35" s="59"/>
      <c r="T35" s="47"/>
      <c r="U35" s="59"/>
    </row>
    <row r="36" spans="2:21" ht="15" customHeight="1">
      <c r="B36" s="68" t="str">
        <f>IF(L24 = 0, "MP Dice", "Dado de MP")</f>
        <v>MP Dice</v>
      </c>
      <c r="C36" s="69"/>
      <c r="D36" s="69" t="str">
        <f t="shared" ref="D36:F36" si="9">IF(N50 = 0,"Learning","Aprendizado")</f>
        <v>Learning</v>
      </c>
      <c r="E36" s="69" t="str">
        <f t="shared" si="9"/>
        <v>Learning</v>
      </c>
      <c r="F36" s="72" t="str">
        <f t="shared" si="9"/>
        <v>Learning</v>
      </c>
      <c r="H36" s="47" t="s">
        <v>32</v>
      </c>
      <c r="I36" s="57" t="s">
        <v>33</v>
      </c>
      <c r="J36" s="47" t="s">
        <v>34</v>
      </c>
      <c r="K36" s="47" t="s">
        <v>35</v>
      </c>
      <c r="P36" s="59"/>
      <c r="Q36" s="47"/>
      <c r="R36" s="57"/>
      <c r="S36" s="59"/>
      <c r="T36" s="47"/>
      <c r="U36" s="59"/>
    </row>
    <row r="37" spans="2:21" ht="15.75" customHeight="1" thickBot="1">
      <c r="B37" s="70"/>
      <c r="C37" s="71"/>
      <c r="D37" s="71" t="str">
        <f t="shared" ref="D37:F37" si="10">IF(N51 = 0,"Learning","Aprendizado")</f>
        <v>Learning</v>
      </c>
      <c r="E37" s="71" t="str">
        <f t="shared" si="10"/>
        <v>Learning</v>
      </c>
      <c r="F37" s="73" t="str">
        <f t="shared" si="10"/>
        <v>Learning</v>
      </c>
      <c r="H37" s="47" t="s">
        <v>36</v>
      </c>
      <c r="I37" s="57" t="s">
        <v>37</v>
      </c>
      <c r="J37" s="47" t="s">
        <v>26</v>
      </c>
      <c r="K37" s="47" t="s">
        <v>38</v>
      </c>
      <c r="P37" s="59"/>
      <c r="Q37" s="47"/>
      <c r="R37" s="57"/>
      <c r="S37" s="59"/>
      <c r="T37" s="47"/>
      <c r="U37" s="59"/>
    </row>
  </sheetData>
  <mergeCells count="51">
    <mergeCell ref="T2:U2"/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K12:K13"/>
    <mergeCell ref="L12:L13"/>
    <mergeCell ref="M12:M13"/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N21:N22"/>
    <mergeCell ref="K17:M18"/>
    <mergeCell ref="K19:M20"/>
    <mergeCell ref="K14:K15"/>
    <mergeCell ref="L14:L15"/>
    <mergeCell ref="B17:F17"/>
    <mergeCell ref="B13:F13"/>
    <mergeCell ref="P31:U31"/>
    <mergeCell ref="D34:F35"/>
    <mergeCell ref="B36:C37"/>
    <mergeCell ref="D36:F37"/>
    <mergeCell ref="B34:C35"/>
    <mergeCell ref="C32:D32"/>
  </mergeCell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Ragan</dc:creator>
  <cp:keywords/>
  <dc:description/>
  <cp:lastModifiedBy/>
  <cp:revision/>
  <dcterms:created xsi:type="dcterms:W3CDTF">2018-11-04T10:18:13Z</dcterms:created>
  <dcterms:modified xsi:type="dcterms:W3CDTF">2018-11-04T11:33:28Z</dcterms:modified>
  <cp:category/>
  <cp:contentStatus/>
</cp:coreProperties>
</file>