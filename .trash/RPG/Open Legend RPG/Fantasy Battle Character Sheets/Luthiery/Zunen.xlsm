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C:\Users\Ragan\Documents\stupid ideas\Open Legend RPG_files\Fantasy Battle Character Sheets\Luthiery\"/>
    </mc:Choice>
  </mc:AlternateContent>
  <xr:revisionPtr revIDLastSave="0" documentId="13_ncr:1_{4C157592-B1D1-4D9A-8CA4-9AE48286059C}" xr6:coauthVersionLast="43" xr6:coauthVersionMax="43" xr10:uidLastSave="{00000000-0000-0000-0000-000000000000}"/>
  <bookViews>
    <workbookView xWindow="28680" yWindow="-120" windowWidth="15600" windowHeight="11160" xr2:uid="{00000000-000D-0000-FFFF-FFFF00000000}"/>
  </bookViews>
  <sheets>
    <sheet name="Sheet1" sheetId="1" r:id="rId1"/>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 i="1" l="1"/>
  <c r="N7" i="1"/>
  <c r="L14" i="1" l="1"/>
  <c r="L12" i="1"/>
  <c r="D29" i="1" l="1"/>
  <c r="T11" i="1"/>
  <c r="T10" i="1"/>
  <c r="T9" i="1"/>
  <c r="U4" i="1" l="1"/>
  <c r="V4" i="1" s="1"/>
  <c r="T4" i="1"/>
  <c r="U3" i="1"/>
  <c r="V3" i="1" s="1"/>
  <c r="T3" i="1"/>
  <c r="T2" i="1"/>
  <c r="Q32" i="1" l="1"/>
  <c r="R32" i="1"/>
  <c r="U32" i="1" l="1"/>
  <c r="S32" i="1" l="1"/>
  <c r="P32" i="1"/>
  <c r="C5" i="1" l="1"/>
  <c r="F32" i="1" l="1"/>
  <c r="K32" i="1" l="1"/>
  <c r="H32" i="1"/>
  <c r="U6" i="1" l="1"/>
  <c r="B13" i="1"/>
  <c r="F25" i="1" l="1"/>
  <c r="F24" i="1"/>
  <c r="F23" i="1"/>
  <c r="F22" i="1"/>
  <c r="F21" i="1"/>
  <c r="F20" i="1"/>
  <c r="F19" i="1"/>
  <c r="F18" i="1"/>
  <c r="F16" i="1"/>
  <c r="F14" i="1"/>
  <c r="F12" i="1"/>
  <c r="F11" i="1"/>
  <c r="F10" i="1"/>
  <c r="F9" i="1"/>
  <c r="F7" i="1"/>
  <c r="F6" i="1"/>
  <c r="F5" i="1"/>
  <c r="F15" i="1"/>
  <c r="C25" i="1"/>
  <c r="C24" i="1"/>
  <c r="C23" i="1"/>
  <c r="C22" i="1"/>
  <c r="C21" i="1"/>
  <c r="C20" i="1"/>
  <c r="C19" i="1"/>
  <c r="C18" i="1"/>
  <c r="C16" i="1"/>
  <c r="C15" i="1"/>
  <c r="C14" i="1"/>
  <c r="C12" i="1"/>
  <c r="C11" i="1"/>
  <c r="C10" i="1"/>
  <c r="C9" i="1"/>
  <c r="C7" i="1"/>
  <c r="C6" i="1"/>
  <c r="F37" i="1" l="1"/>
  <c r="E37" i="1"/>
  <c r="D37" i="1"/>
  <c r="F36" i="1"/>
  <c r="E36" i="1"/>
  <c r="B34" i="1" l="1"/>
  <c r="B9" i="1" l="1"/>
  <c r="D34" i="1"/>
  <c r="B6" i="1"/>
  <c r="B36" i="1"/>
  <c r="B27" i="1"/>
  <c r="M14" i="1" l="1"/>
  <c r="M12" i="1"/>
  <c r="C3" i="1" l="1"/>
  <c r="D3" i="1"/>
  <c r="E3" i="1"/>
  <c r="B24" i="1" l="1"/>
  <c r="B23" i="1"/>
  <c r="B18" i="1"/>
  <c r="B20" i="1"/>
  <c r="J32" i="1"/>
  <c r="Q4" i="1" l="1"/>
  <c r="R4" i="1"/>
  <c r="P2" i="1"/>
  <c r="I32" i="1"/>
  <c r="K29" i="1" l="1"/>
  <c r="H2" i="1"/>
  <c r="B5" i="1"/>
  <c r="K21" i="1" l="1"/>
  <c r="K19" i="1"/>
  <c r="K17" i="1"/>
  <c r="D28" i="1"/>
  <c r="B28" i="1"/>
  <c r="K12" i="1"/>
  <c r="K14" i="1"/>
  <c r="K24" i="1"/>
  <c r="F3" i="1"/>
  <c r="B3" i="1"/>
  <c r="L27" i="1"/>
  <c r="L26" i="1"/>
  <c r="B25" i="1"/>
  <c r="B22" i="1"/>
  <c r="B21" i="1"/>
  <c r="B19" i="1"/>
  <c r="B16" i="1"/>
  <c r="B15" i="1"/>
  <c r="B14" i="1"/>
  <c r="B17" i="1"/>
  <c r="B12" i="1"/>
  <c r="D36" i="1" s="1"/>
  <c r="B11" i="1"/>
  <c r="B10" i="1"/>
  <c r="B8" i="1"/>
  <c r="B7" i="1"/>
  <c r="B4" i="1"/>
  <c r="B2" i="1"/>
</calcChain>
</file>

<file path=xl/sharedStrings.xml><?xml version="1.0" encoding="utf-8"?>
<sst xmlns="http://schemas.openxmlformats.org/spreadsheetml/2006/main" count="70" uniqueCount="47">
  <si>
    <t>/</t>
  </si>
  <si>
    <t>LEVEL</t>
  </si>
  <si>
    <t>XP</t>
  </si>
  <si>
    <t>HP:</t>
  </si>
  <si>
    <t>Qnt</t>
  </si>
  <si>
    <t>Stamina</t>
  </si>
  <si>
    <t>Banes &amp; Boons</t>
  </si>
  <si>
    <t>AR</t>
  </si>
  <si>
    <t>MP:</t>
  </si>
  <si>
    <t>Power Level</t>
  </si>
  <si>
    <t>3(6) Mana</t>
  </si>
  <si>
    <t>Attack Specialization</t>
  </si>
  <si>
    <t>Sintonia Extrema</t>
  </si>
  <si>
    <t>-</t>
  </si>
  <si>
    <t>Incapacitado</t>
  </si>
  <si>
    <t>Bane</t>
  </si>
  <si>
    <t>5/7/9</t>
  </si>
  <si>
    <t>Resist. (Fail 3x = 1min)</t>
  </si>
  <si>
    <t>Desvantagem 3 em qualquer rolagem de perception. Não pode se mover, nem realizar Ações, Maiores, Menores ou Grátis. Tenta resistir no final do turno.</t>
  </si>
  <si>
    <t>Vontade</t>
  </si>
  <si>
    <t>4 Mana (2 p/ Turno)</t>
  </si>
  <si>
    <t>Fadiga</t>
  </si>
  <si>
    <t>Lv1: Dis-1 em todas as rolagens que não de ataque. Lv2: Velocidade de movimento cai pela metade. Lv3: Dis-1 em ataques.</t>
  </si>
  <si>
    <t>+6 de HP máximo</t>
  </si>
  <si>
    <t>Tough as Nails I</t>
  </si>
  <si>
    <t>Animal Guardião - Urso</t>
  </si>
  <si>
    <t>Animal Guardião - Lobo</t>
  </si>
  <si>
    <t>Animal Guardião - Águia</t>
  </si>
  <si>
    <t>Canaliza a força da floresta, e ganha +1 em Might no cálculo do dano no próximo ataque nesse turno. Se em fúria, custa mais mana, e ganha um bonus adicional dependendo do Animal Guardião escolhido. Ação Menor.</t>
  </si>
  <si>
    <t>Knockdown</t>
  </si>
  <si>
    <t>Dis-1 em attaques. +2 Guard vs. Ataques a distância. -2 Guard vs. Ataques Melee.</t>
  </si>
  <si>
    <t>Espada</t>
  </si>
  <si>
    <t>"Forceful", "Heavy", pode inflingir as Banes: "Knockdown", "Stunned"</t>
  </si>
  <si>
    <t>1+</t>
  </si>
  <si>
    <t>Stunned</t>
  </si>
  <si>
    <t>4+</t>
  </si>
  <si>
    <t>Alvo só pode realizar ou 1 Ação Maior ou 1 Ação Menor ou 1 Ação de Movimento.</t>
  </si>
  <si>
    <t>Fúria Selvagem (Skill, 3pt.)</t>
  </si>
  <si>
    <t>Ataque Selvagem (Skill, 2pt.)</t>
  </si>
  <si>
    <t>vantagem +1 ataques usando uma espada.</t>
  </si>
  <si>
    <t>Zunen</t>
  </si>
  <si>
    <t>Zunen é muito antenado com as energias naturais, e é sensível aos sons da natureza. Se algum som de origem animal for muito alto, Zunen tem que fazer uma rolagem de Fortitude contra um DC determinado pelo Mestre. Se falhar, Zunen fica Incapacitado(5 ou 7). (+2 Feat Points, +1 Skill Point)</t>
  </si>
  <si>
    <t>Enquanto Zunen está em fúria, ganha +1 de Guard, Van+1 em tentativas de intimidação e Van+1 para resistir Banes.   Se usar Ataque Selvagem enquanto em fúria, role Might contra um CR = tamanho do inimigo + Might do inimigo. Se você superar o CR, o inimigo sofre Knockdown. Além disso, você ganha +1 em Might na rolagem do dano. Se o inimigo já estava caido quando sofreu o ataque, você pode tentar intimidar um inimigo a sua escolha, ou todos os inimigos no alcance(se escolher todos os inimigos, tem Dis-2 na rolagem de Presença).</t>
  </si>
  <si>
    <t>Enquanto Zunen está em fúria, ganha +1 de Might na rolagem de dano quando atacando um inimigo flankeado. Zunen também pode, como Ação Menor no seu turno, permitir que um aliado se mova até 2 espaços na direção de Zunen. Se usar Ataque Selvagem enquanto em fúria, o inimigo perde 3 de Guard até o final da luta.</t>
  </si>
  <si>
    <t>Enquanto Zunen está em fúria, ganha Adv+1 para procurar/rastrear alguém, tem Vantagem+1 para acertar ataques e tem sua velocidade de movimento aumentada em 1. Se usar Ataque Selvagem enquanto em fúria, você ganha Vantagem+2 no ataque</t>
  </si>
  <si>
    <t>Como uma Ação Menor, Zunen pode entrar em fúria, e escolher um dos Animais Guardiões para receber o seu bônus. Quando em fúria, tem Van+1 nos ataques e ignora Fadiga. Quando a fúria acaba, Zunen sofre 1 nível de Fadiga.</t>
  </si>
  <si>
    <t>Fadiga some a cada descanço longo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</si>
</sst>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sz val="11"/>
      <color theme="0"/>
      <name val="Calibri"/>
      <family val="2"/>
      <scheme val="minor"/>
    </font>
    <font>
      <sz val="20"/>
      <color theme="1"/>
      <name val="Calibri"/>
      <family val="2"/>
      <scheme val="minor"/>
    </font>
    <font>
      <sz val="12"/>
      <color theme="1"/>
      <name val="Calibri"/>
      <family val="2"/>
      <scheme val="minor"/>
    </font>
    <font>
      <sz val="16"/>
      <color theme="1"/>
      <name val="Calibri"/>
      <family val="2"/>
      <scheme val="minor"/>
    </font>
    <font>
      <sz val="18"/>
      <color rgb="FF9C0006"/>
      <name val="Calibri"/>
      <family val="2"/>
      <scheme val="minor"/>
    </font>
    <font>
      <sz val="18"/>
      <color rgb="FF1741F1"/>
      <name val="Calibri"/>
      <family val="2"/>
      <scheme val="minor"/>
    </font>
    <font>
      <sz val="22"/>
      <color rgb="FF9C6500"/>
      <name val="Calibri"/>
      <family val="2"/>
      <scheme val="minor"/>
    </font>
    <font>
      <sz val="14"/>
      <color rgb="FF883406"/>
      <name val="Calibri"/>
      <family val="2"/>
      <scheme val="minor"/>
    </font>
    <font>
      <sz val="14"/>
      <color rgb="FF7E691C"/>
      <name val="Calibri"/>
      <family val="2"/>
      <scheme val="minor"/>
    </font>
    <font>
      <sz val="12"/>
      <color rgb="FF094718"/>
      <name val="Calibri"/>
      <family val="2"/>
      <scheme val="minor"/>
    </font>
    <font>
      <sz val="16"/>
      <color rgb="FF094718"/>
      <name val="Calibri"/>
      <family val="2"/>
      <scheme val="minor"/>
    </font>
    <font>
      <sz val="12"/>
      <color rgb="FF744006"/>
      <name val="Calibri"/>
      <family val="2"/>
      <scheme val="minor"/>
    </font>
    <font>
      <sz val="16"/>
      <color rgb="FF744006"/>
      <name val="Calibri"/>
      <family val="2"/>
      <scheme val="minor"/>
    </font>
    <font>
      <sz val="12"/>
      <color rgb="FF082F86"/>
      <name val="Calibri"/>
      <family val="2"/>
      <scheme val="minor"/>
    </font>
    <font>
      <sz val="16"/>
      <color rgb="FF082F86"/>
      <name val="Calibri"/>
      <family val="2"/>
      <scheme val="minor"/>
    </font>
    <font>
      <sz val="16"/>
      <color rgb="FF883406"/>
      <name val="Calibri"/>
      <family val="2"/>
      <scheme val="minor"/>
    </font>
    <font>
      <sz val="16"/>
      <color rgb="FF7E691C"/>
      <name val="Calibri"/>
      <family val="2"/>
      <scheme val="minor"/>
    </font>
    <font>
      <sz val="14"/>
      <color rgb="FF000000"/>
      <name val="Calibri"/>
      <family val="2"/>
    </font>
    <font>
      <sz val="12"/>
      <color theme="0"/>
      <name val="Calibri"/>
      <family val="2"/>
      <scheme val="minor"/>
    </font>
    <font>
      <sz val="26"/>
      <color rgb="FF883406"/>
      <name val="Calibri"/>
      <family val="2"/>
      <scheme val="minor"/>
    </font>
    <font>
      <sz val="14"/>
      <color theme="0"/>
      <name val="Calibri"/>
      <family val="2"/>
      <scheme val="minor"/>
    </font>
    <font>
      <sz val="16"/>
      <color theme="0"/>
      <name val="Calibri"/>
      <family val="2"/>
      <scheme val="minor"/>
    </font>
    <font>
      <sz val="11"/>
      <color rgb="FF006100"/>
      <name val="Calibri"/>
      <family val="2"/>
      <scheme val="minor"/>
    </font>
    <font>
      <sz val="22"/>
      <color rgb="FF006100"/>
      <name val="Calibri"/>
      <family val="2"/>
      <scheme val="minor"/>
    </font>
    <font>
      <sz val="20"/>
      <color rgb="FF9C0006"/>
      <name val="Calibri"/>
      <family val="2"/>
      <scheme val="minor"/>
    </font>
    <font>
      <sz val="20"/>
      <color rgb="FF1741F1"/>
      <name val="Calibri"/>
      <family val="2"/>
      <scheme val="minor"/>
    </font>
    <font>
      <sz val="22"/>
      <color rgb="FF9C0006"/>
      <name val="Calibri"/>
      <family val="2"/>
      <scheme val="minor"/>
    </font>
    <font>
      <sz val="22"/>
      <color rgb="FF1741F1"/>
      <name val="Calibri"/>
      <family val="2"/>
      <scheme val="minor"/>
    </font>
    <font>
      <sz val="12"/>
      <color rgb="FF9C6500"/>
      <name val="Calibri"/>
      <family val="2"/>
      <scheme val="minor"/>
    </font>
    <font>
      <u/>
      <sz val="11"/>
      <color theme="1"/>
      <name val="Calibri"/>
      <family val="2"/>
      <scheme val="minor"/>
    </font>
  </fonts>
  <fills count="35">
    <fill>
      <patternFill patternType="none"/>
    </fill>
    <fill>
      <patternFill patternType="gray125"/>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rgb="FF9FC4FB"/>
        <bgColor indexed="64"/>
      </patternFill>
    </fill>
    <fill>
      <patternFill patternType="solid">
        <fgColor rgb="FFF9CB6F"/>
        <bgColor indexed="64"/>
      </patternFill>
    </fill>
    <fill>
      <patternFill patternType="solid">
        <fgColor rgb="FFFE7550"/>
        <bgColor indexed="64"/>
      </patternFill>
    </fill>
    <fill>
      <patternFill patternType="solid">
        <fgColor rgb="FFFED562"/>
        <bgColor indexed="64"/>
      </patternFill>
    </fill>
    <fill>
      <patternFill patternType="solid">
        <fgColor rgb="FF55C9FD"/>
        <bgColor indexed="64"/>
      </patternFill>
    </fill>
    <fill>
      <patternFill patternType="solid">
        <fgColor rgb="FF23E509"/>
        <bgColor indexed="64"/>
      </patternFill>
    </fill>
    <fill>
      <patternFill patternType="solid">
        <fgColor theme="1" tint="0.14999847407452621"/>
        <bgColor indexed="64"/>
      </patternFill>
    </fill>
    <fill>
      <patternFill patternType="solid">
        <fgColor theme="9" tint="0.39997558519241921"/>
        <bgColor indexed="65"/>
      </patternFill>
    </fill>
    <fill>
      <patternFill patternType="solid">
        <fgColor theme="4" tint="0.39997558519241921"/>
        <bgColor indexed="65"/>
      </patternFill>
    </fill>
    <fill>
      <patternFill patternType="solid">
        <fgColor rgb="FFC6EFCE"/>
      </patternFill>
    </fill>
    <fill>
      <patternFill patternType="solid">
        <fgColor theme="5" tint="0.39997558519241921"/>
        <bgColor indexed="64"/>
      </patternFill>
    </fill>
    <fill>
      <patternFill patternType="solid">
        <fgColor theme="5" tint="0.59999389629810485"/>
        <bgColor indexed="64"/>
      </patternFill>
    </fill>
  </fills>
  <borders count="52">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thin">
        <color indexed="64"/>
      </bottom>
      <diagonal/>
    </border>
    <border>
      <left style="medium">
        <color indexed="64"/>
      </left>
      <right style="thin">
        <color indexed="64"/>
      </right>
      <top style="medium">
        <color indexed="64"/>
      </top>
      <bottom style="thin">
        <color rgb="FFB2B2B2"/>
      </bottom>
      <diagonal/>
    </border>
    <border>
      <left style="medium">
        <color indexed="64"/>
      </left>
      <right style="thin">
        <color indexed="64"/>
      </right>
      <top style="thin">
        <color rgb="FFB2B2B2"/>
      </top>
      <bottom style="medium">
        <color indexed="64"/>
      </bottom>
      <diagonal/>
    </border>
    <border>
      <left style="medium">
        <color indexed="64"/>
      </left>
      <right style="thin">
        <color rgb="FF7F7F7F"/>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rgb="FF7F7F7F"/>
      </bottom>
      <diagonal/>
    </border>
    <border>
      <left/>
      <right style="medium">
        <color indexed="64"/>
      </right>
      <top/>
      <bottom style="thin">
        <color rgb="FF7F7F7F"/>
      </bottom>
      <diagonal/>
    </border>
    <border>
      <left/>
      <right/>
      <top style="thin">
        <color rgb="FF7F7F7F"/>
      </top>
      <bottom/>
      <diagonal/>
    </border>
    <border>
      <left/>
      <right style="medium">
        <color indexed="64"/>
      </right>
      <top style="thin">
        <color rgb="FF7F7F7F"/>
      </top>
      <bottom/>
      <diagonal/>
    </border>
    <border>
      <left style="medium">
        <color indexed="64"/>
      </left>
      <right/>
      <top/>
      <bottom style="thin">
        <color indexed="64"/>
      </bottom>
      <diagonal/>
    </border>
    <border>
      <left/>
      <right style="medium">
        <color indexed="64"/>
      </right>
      <top/>
      <bottom style="thin">
        <color indexed="64"/>
      </bottom>
      <diagonal/>
    </border>
    <border>
      <left style="thin">
        <color rgb="FF7F7F7F"/>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thin">
        <color rgb="FF7F7F7F"/>
      </top>
      <bottom/>
      <diagonal/>
    </border>
    <border>
      <left style="medium">
        <color indexed="64"/>
      </left>
      <right/>
      <top/>
      <bottom style="thin">
        <color rgb="FF7F7F7F"/>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top style="thin">
        <color indexed="64"/>
      </top>
      <bottom/>
      <diagonal/>
    </border>
    <border>
      <left/>
      <right style="medium">
        <color indexed="64"/>
      </right>
      <top style="thin">
        <color indexed="64"/>
      </top>
      <bottom/>
      <diagonal/>
    </border>
  </borders>
  <cellStyleXfs count="2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 fillId="5" borderId="2" applyNumberFormat="0" applyFont="0" applyAlignment="0" applyProtection="0"/>
    <xf numFmtId="0" fontId="5"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5" fillId="17" borderId="0" applyNumberFormat="0" applyBorder="0" applyAlignment="0" applyProtection="0"/>
    <xf numFmtId="0" fontId="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7" fillId="32" borderId="0" applyNumberFormat="0" applyBorder="0" applyAlignment="0" applyProtection="0"/>
  </cellStyleXfs>
  <cellXfs count="189">
    <xf numFmtId="0" fontId="0" fillId="0" borderId="0" xfId="0"/>
    <xf numFmtId="0" fontId="0" fillId="0" borderId="0" xfId="0" applyAlignment="1">
      <alignment horizontal="center"/>
    </xf>
    <xf numFmtId="0" fontId="0" fillId="0" borderId="0" xfId="0" applyAlignment="1">
      <alignment vertical="center"/>
    </xf>
    <xf numFmtId="0" fontId="1" fillId="11" borderId="0" xfId="10" applyAlignment="1">
      <alignment horizontal="center"/>
    </xf>
    <xf numFmtId="0" fontId="1" fillId="10" borderId="0" xfId="9" applyAlignment="1">
      <alignment horizontal="center"/>
    </xf>
    <xf numFmtId="0" fontId="1" fillId="11" borderId="9" xfId="10" applyBorder="1" applyAlignment="1">
      <alignment horizontal="center"/>
    </xf>
    <xf numFmtId="0" fontId="1" fillId="15" borderId="0" xfId="14" applyAlignment="1">
      <alignment horizontal="center"/>
    </xf>
    <xf numFmtId="0" fontId="1" fillId="16" borderId="0" xfId="15" applyAlignment="1">
      <alignment horizontal="center"/>
    </xf>
    <xf numFmtId="0" fontId="1" fillId="8" borderId="0" xfId="7" applyAlignment="1">
      <alignment horizontal="center"/>
    </xf>
    <xf numFmtId="0" fontId="1" fillId="7" borderId="0" xfId="6" applyAlignment="1">
      <alignment horizontal="center"/>
    </xf>
    <xf numFmtId="0" fontId="1" fillId="22" borderId="0" xfId="21" applyAlignment="1">
      <alignment horizontal="center"/>
    </xf>
    <xf numFmtId="0" fontId="1" fillId="22" borderId="9" xfId="21" applyBorder="1" applyAlignment="1">
      <alignment horizontal="center"/>
    </xf>
    <xf numFmtId="0" fontId="1" fillId="21" borderId="0" xfId="20" applyAlignment="1">
      <alignment horizontal="center"/>
    </xf>
    <xf numFmtId="0" fontId="0" fillId="0" borderId="18" xfId="0" applyBorder="1"/>
    <xf numFmtId="0" fontId="1" fillId="11" borderId="22" xfId="10" applyBorder="1"/>
    <xf numFmtId="0" fontId="1" fillId="11" borderId="18" xfId="10" applyBorder="1" applyAlignment="1">
      <alignment horizontal="center"/>
    </xf>
    <xf numFmtId="0" fontId="1" fillId="10" borderId="22" xfId="9" applyBorder="1"/>
    <xf numFmtId="0" fontId="1" fillId="10" borderId="18" xfId="9" applyBorder="1" applyAlignment="1">
      <alignment horizontal="center"/>
    </xf>
    <xf numFmtId="0" fontId="1" fillId="11" borderId="25" xfId="10" applyBorder="1"/>
    <xf numFmtId="0" fontId="1" fillId="11" borderId="26" xfId="10" applyBorder="1" applyAlignment="1">
      <alignment horizontal="center"/>
    </xf>
    <xf numFmtId="0" fontId="1" fillId="8" borderId="22" xfId="7" applyBorder="1"/>
    <xf numFmtId="0" fontId="1" fillId="8" borderId="18" xfId="7" applyBorder="1" applyAlignment="1">
      <alignment horizontal="center"/>
    </xf>
    <xf numFmtId="0" fontId="1" fillId="7" borderId="22" xfId="6" applyBorder="1"/>
    <xf numFmtId="0" fontId="1" fillId="7" borderId="18" xfId="6" applyBorder="1" applyAlignment="1">
      <alignment horizontal="center"/>
    </xf>
    <xf numFmtId="0" fontId="1" fillId="22" borderId="22" xfId="21" applyBorder="1"/>
    <xf numFmtId="0" fontId="1" fillId="22" borderId="18" xfId="21" applyBorder="1" applyAlignment="1">
      <alignment horizontal="center"/>
    </xf>
    <xf numFmtId="0" fontId="1" fillId="21" borderId="22" xfId="20" applyBorder="1"/>
    <xf numFmtId="0" fontId="1" fillId="21" borderId="18" xfId="20" applyBorder="1" applyAlignment="1">
      <alignment horizontal="center"/>
    </xf>
    <xf numFmtId="0" fontId="1" fillId="22" borderId="25" xfId="21" applyBorder="1"/>
    <xf numFmtId="0" fontId="1" fillId="22" borderId="26" xfId="21" applyBorder="1" applyAlignment="1">
      <alignment horizontal="center"/>
    </xf>
    <xf numFmtId="0" fontId="1" fillId="16" borderId="22" xfId="15" applyBorder="1"/>
    <xf numFmtId="0" fontId="1" fillId="16" borderId="18" xfId="15" applyBorder="1" applyAlignment="1">
      <alignment horizontal="center"/>
    </xf>
    <xf numFmtId="0" fontId="1" fillId="15" borderId="22" xfId="14" applyBorder="1"/>
    <xf numFmtId="0" fontId="1" fillId="15" borderId="18" xfId="14" applyBorder="1" applyAlignment="1">
      <alignment horizontal="center"/>
    </xf>
    <xf numFmtId="0" fontId="1" fillId="15" borderId="27" xfId="14" applyBorder="1"/>
    <xf numFmtId="0" fontId="1" fillId="15" borderId="28" xfId="14" applyBorder="1" applyAlignment="1">
      <alignment horizontal="center"/>
    </xf>
    <xf numFmtId="0" fontId="1" fillId="15" borderId="29" xfId="14" applyBorder="1" applyAlignment="1">
      <alignment horizontal="center"/>
    </xf>
    <xf numFmtId="0" fontId="5" fillId="13" borderId="22" xfId="12" applyBorder="1" applyAlignment="1">
      <alignment horizontal="center"/>
    </xf>
    <xf numFmtId="0" fontId="5" fillId="13" borderId="15" xfId="12" applyBorder="1" applyAlignment="1">
      <alignment horizontal="center"/>
    </xf>
    <xf numFmtId="0" fontId="5" fillId="13" borderId="18" xfId="12" applyBorder="1" applyAlignment="1">
      <alignment horizontal="center"/>
    </xf>
    <xf numFmtId="0" fontId="0" fillId="5" borderId="31" xfId="4" applyFont="1" applyBorder="1" applyAlignment="1">
      <alignment horizontal="center"/>
    </xf>
    <xf numFmtId="0" fontId="0" fillId="5" borderId="32" xfId="4" applyFont="1" applyBorder="1" applyAlignment="1">
      <alignment horizontal="center"/>
    </xf>
    <xf numFmtId="0" fontId="4" fillId="4" borderId="33" xfId="3" applyBorder="1" applyAlignment="1">
      <alignment horizontal="center"/>
    </xf>
    <xf numFmtId="0" fontId="23" fillId="29" borderId="0" xfId="0" applyFont="1" applyFill="1" applyAlignment="1">
      <alignment horizontal="center" vertical="center" wrapText="1"/>
    </xf>
    <xf numFmtId="0" fontId="23" fillId="29" borderId="0" xfId="0" applyFont="1" applyFill="1" applyAlignment="1">
      <alignment horizontal="center" vertical="center"/>
    </xf>
    <xf numFmtId="0" fontId="5" fillId="12" borderId="44" xfId="11" applyBorder="1"/>
    <xf numFmtId="0" fontId="5" fillId="30" borderId="0" xfId="22" applyAlignment="1">
      <alignment horizontal="center" vertical="center"/>
    </xf>
    <xf numFmtId="0" fontId="0" fillId="0" borderId="0" xfId="0" applyAlignment="1">
      <alignment horizontal="center" vertical="center"/>
    </xf>
    <xf numFmtId="0" fontId="0" fillId="0" borderId="0" xfId="0" applyAlignment="1">
      <alignment horizontal="left"/>
    </xf>
    <xf numFmtId="0" fontId="24" fillId="25" borderId="43" xfId="3" applyFont="1" applyFill="1" applyBorder="1" applyAlignment="1">
      <alignment horizontal="center" vertical="center"/>
    </xf>
    <xf numFmtId="0" fontId="20" fillId="25" borderId="44" xfId="3" applyFont="1" applyFill="1" applyBorder="1" applyAlignment="1">
      <alignment horizontal="center" vertical="center"/>
    </xf>
    <xf numFmtId="0" fontId="24" fillId="25" borderId="11" xfId="3" applyFont="1" applyFill="1" applyBorder="1" applyAlignment="1">
      <alignment horizontal="center" vertical="center"/>
    </xf>
    <xf numFmtId="0" fontId="23" fillId="12" borderId="11" xfId="11" applyFont="1" applyBorder="1"/>
    <xf numFmtId="0" fontId="5" fillId="31" borderId="0" xfId="23" applyAlignment="1">
      <alignment horizontal="center" vertical="center"/>
    </xf>
    <xf numFmtId="0" fontId="3" fillId="26" borderId="49" xfId="2" applyFill="1" applyBorder="1" applyAlignment="1">
      <alignment horizontal="center" vertical="center"/>
    </xf>
    <xf numFmtId="0" fontId="3" fillId="26" borderId="48" xfId="2" applyFill="1" applyBorder="1" applyAlignment="1">
      <alignment horizontal="center" vertical="center"/>
    </xf>
    <xf numFmtId="0" fontId="33" fillId="3" borderId="10" xfId="2" applyFont="1" applyBorder="1" applyAlignment="1">
      <alignment horizontal="center" vertical="center"/>
    </xf>
    <xf numFmtId="0" fontId="0" fillId="0" borderId="0" xfId="0" applyAlignment="1">
      <alignment horizontal="left" vertical="center" wrapText="1"/>
    </xf>
    <xf numFmtId="0" fontId="5" fillId="31" borderId="0" xfId="23" applyAlignment="1">
      <alignment horizontal="center" vertical="center" wrapText="1"/>
    </xf>
    <xf numFmtId="0" fontId="0" fillId="0" borderId="0" xfId="0" applyAlignment="1">
      <alignment horizontal="center" vertical="center" wrapText="1"/>
    </xf>
    <xf numFmtId="16" fontId="0" fillId="0" borderId="0" xfId="0" quotePrefix="1" applyNumberFormat="1" applyAlignment="1">
      <alignment horizontal="center" vertical="center"/>
    </xf>
    <xf numFmtId="0" fontId="0" fillId="0" borderId="0" xfId="0" quotePrefix="1" applyAlignment="1">
      <alignment horizontal="center" vertical="center"/>
    </xf>
    <xf numFmtId="16" fontId="0" fillId="0" borderId="0" xfId="0" quotePrefix="1" applyNumberFormat="1" applyAlignment="1">
      <alignment horizontal="center" vertical="center" wrapText="1"/>
    </xf>
    <xf numFmtId="0" fontId="0" fillId="0" borderId="0" xfId="0" quotePrefix="1" applyAlignment="1">
      <alignment horizontal="left" vertical="center" wrapText="1"/>
    </xf>
    <xf numFmtId="0" fontId="0" fillId="11" borderId="9" xfId="10" applyFont="1" applyBorder="1" applyAlignment="1">
      <alignment horizontal="center"/>
    </xf>
    <xf numFmtId="0" fontId="0" fillId="0" borderId="0" xfId="0" applyAlignment="1">
      <alignment wrapText="1"/>
    </xf>
    <xf numFmtId="0" fontId="33" fillId="3" borderId="50" xfId="2" applyFont="1" applyBorder="1" applyAlignment="1">
      <alignment horizontal="center" vertical="center"/>
    </xf>
    <xf numFmtId="0" fontId="33" fillId="3" borderId="51" xfId="2" applyFont="1" applyBorder="1" applyAlignment="1">
      <alignment horizontal="center" vertical="center"/>
    </xf>
    <xf numFmtId="0" fontId="33" fillId="3" borderId="9" xfId="2" applyFont="1" applyBorder="1" applyAlignment="1">
      <alignment horizontal="center" vertical="center"/>
    </xf>
    <xf numFmtId="0" fontId="7" fillId="33" borderId="0" xfId="0" applyFont="1" applyFill="1" applyAlignment="1">
      <alignment horizontal="center" vertical="center"/>
    </xf>
    <xf numFmtId="0" fontId="0" fillId="34" borderId="0" xfId="0" applyFill="1" applyAlignment="1">
      <alignment horizontal="center"/>
    </xf>
    <xf numFmtId="0" fontId="34" fillId="0" borderId="0" xfId="0" applyFont="1" applyAlignment="1">
      <alignment horizontal="left"/>
    </xf>
    <xf numFmtId="0" fontId="34" fillId="0" borderId="0" xfId="0" applyFont="1"/>
    <xf numFmtId="0" fontId="28" fillId="32" borderId="3" xfId="24" applyFont="1" applyBorder="1" applyAlignment="1">
      <alignment horizontal="center"/>
    </xf>
    <xf numFmtId="0" fontId="28" fillId="32" borderId="8" xfId="24" applyFont="1" applyBorder="1" applyAlignment="1">
      <alignment horizontal="center"/>
    </xf>
    <xf numFmtId="0" fontId="28" fillId="32" borderId="5" xfId="24" applyFont="1" applyBorder="1" applyAlignment="1">
      <alignment horizontal="center"/>
    </xf>
    <xf numFmtId="0" fontId="28" fillId="32" borderId="10" xfId="24" applyFont="1" applyBorder="1" applyAlignment="1">
      <alignment horizontal="center"/>
    </xf>
    <xf numFmtId="0" fontId="16" fillId="26" borderId="6" xfId="0" applyFont="1" applyFill="1" applyBorder="1" applyAlignment="1">
      <alignment horizontal="center" vertical="center"/>
    </xf>
    <xf numFmtId="0" fontId="16" fillId="26" borderId="0" xfId="0" applyFont="1" applyFill="1" applyAlignment="1">
      <alignment horizontal="center" vertical="center"/>
    </xf>
    <xf numFmtId="0" fontId="16" fillId="26" borderId="8" xfId="0" applyFont="1" applyFill="1" applyBorder="1" applyAlignment="1">
      <alignment horizontal="center" vertical="center"/>
    </xf>
    <xf numFmtId="0" fontId="16" fillId="26" borderId="9" xfId="0" applyFont="1" applyFill="1" applyBorder="1" applyAlignment="1">
      <alignment horizontal="center" vertical="center"/>
    </xf>
    <xf numFmtId="0" fontId="15" fillId="28" borderId="5" xfId="0" applyFont="1" applyFill="1" applyBorder="1" applyAlignment="1">
      <alignment horizontal="center" vertical="center"/>
    </xf>
    <xf numFmtId="0" fontId="15" fillId="28" borderId="41" xfId="0" applyFont="1" applyFill="1" applyBorder="1" applyAlignment="1">
      <alignment horizontal="center" vertical="center"/>
    </xf>
    <xf numFmtId="0" fontId="11" fillId="3" borderId="4" xfId="2" applyFont="1" applyBorder="1" applyAlignment="1">
      <alignment horizontal="center" vertical="center"/>
    </xf>
    <xf numFmtId="0" fontId="11" fillId="3" borderId="5" xfId="2" applyFont="1" applyBorder="1" applyAlignment="1">
      <alignment horizontal="center" vertical="center"/>
    </xf>
    <xf numFmtId="0" fontId="11" fillId="3" borderId="9" xfId="2" applyFont="1" applyBorder="1" applyAlignment="1">
      <alignment horizontal="center" vertical="center"/>
    </xf>
    <xf numFmtId="0" fontId="11" fillId="3" borderId="10" xfId="2" applyFont="1" applyBorder="1" applyAlignment="1">
      <alignment horizontal="center" vertical="center"/>
    </xf>
    <xf numFmtId="0" fontId="11" fillId="3" borderId="3" xfId="2" applyFont="1" applyBorder="1" applyAlignment="1">
      <alignment horizontal="center" vertical="center"/>
    </xf>
    <xf numFmtId="0" fontId="11" fillId="3" borderId="8" xfId="2" applyFont="1" applyBorder="1" applyAlignment="1">
      <alignment horizontal="center" vertical="center"/>
    </xf>
    <xf numFmtId="0" fontId="31" fillId="2" borderId="3" xfId="1" applyFont="1" applyBorder="1" applyAlignment="1">
      <alignment horizontal="center" vertical="center"/>
    </xf>
    <xf numFmtId="0" fontId="31" fillId="2" borderId="8" xfId="1" applyFont="1" applyBorder="1" applyAlignment="1">
      <alignment horizontal="center" vertical="center"/>
    </xf>
    <xf numFmtId="0" fontId="26" fillId="20" borderId="0" xfId="19" applyFont="1" applyAlignment="1">
      <alignment horizontal="center" vertical="center"/>
    </xf>
    <xf numFmtId="0" fontId="29" fillId="2" borderId="4" xfId="1" applyFont="1" applyBorder="1" applyAlignment="1">
      <alignment horizontal="center" vertical="center"/>
    </xf>
    <xf numFmtId="0" fontId="29" fillId="2" borderId="9" xfId="1" applyFont="1" applyBorder="1" applyAlignment="1">
      <alignment horizontal="center" vertical="center"/>
    </xf>
    <xf numFmtId="0" fontId="31" fillId="2" borderId="4" xfId="1" applyFont="1" applyBorder="1" applyAlignment="1">
      <alignment horizontal="center" vertical="center"/>
    </xf>
    <xf numFmtId="0" fontId="31" fillId="2" borderId="9" xfId="1" applyFont="1" applyBorder="1" applyAlignment="1">
      <alignment horizontal="center" vertical="center"/>
    </xf>
    <xf numFmtId="0" fontId="29" fillId="2" borderId="5" xfId="1" applyFont="1" applyBorder="1" applyAlignment="1">
      <alignment horizontal="center" vertical="center"/>
    </xf>
    <xf numFmtId="0" fontId="29" fillId="2" borderId="10" xfId="1" applyFont="1" applyBorder="1" applyAlignment="1">
      <alignment horizontal="center" vertical="center"/>
    </xf>
    <xf numFmtId="0" fontId="32" fillId="23" borderId="4" xfId="1" applyFont="1" applyFill="1" applyBorder="1" applyAlignment="1">
      <alignment horizontal="center" vertical="center"/>
    </xf>
    <xf numFmtId="0" fontId="32" fillId="23" borderId="9" xfId="1" applyFont="1" applyFill="1" applyBorder="1" applyAlignment="1">
      <alignment horizontal="center" vertical="center"/>
    </xf>
    <xf numFmtId="0" fontId="30" fillId="23" borderId="5" xfId="1" applyFont="1" applyFill="1" applyBorder="1" applyAlignment="1">
      <alignment horizontal="center" vertical="center"/>
    </xf>
    <xf numFmtId="0" fontId="30" fillId="23" borderId="10" xfId="1" applyFont="1" applyFill="1" applyBorder="1" applyAlignment="1">
      <alignment horizontal="center" vertical="center"/>
    </xf>
    <xf numFmtId="0" fontId="14" fillId="28" borderId="3" xfId="0" applyFont="1" applyFill="1" applyBorder="1" applyAlignment="1">
      <alignment horizontal="center" vertical="center"/>
    </xf>
    <xf numFmtId="0" fontId="14" fillId="28" borderId="4" xfId="0" applyFont="1" applyFill="1" applyBorder="1" applyAlignment="1">
      <alignment horizontal="center" vertical="center"/>
    </xf>
    <xf numFmtId="0" fontId="14" fillId="28" borderId="40" xfId="0" applyFont="1" applyFill="1" applyBorder="1" applyAlignment="1">
      <alignment horizontal="center" vertical="center"/>
    </xf>
    <xf numFmtId="0" fontId="14" fillId="28" borderId="30" xfId="0" applyFont="1" applyFill="1" applyBorder="1" applyAlignment="1">
      <alignment horizontal="center" vertical="center"/>
    </xf>
    <xf numFmtId="0" fontId="3" fillId="26" borderId="6" xfId="2" applyFill="1" applyBorder="1" applyAlignment="1">
      <alignment horizontal="center" vertical="center"/>
    </xf>
    <xf numFmtId="0" fontId="3" fillId="26" borderId="0" xfId="2" applyFill="1" applyAlignment="1">
      <alignment horizontal="center" vertical="center"/>
    </xf>
    <xf numFmtId="0" fontId="3" fillId="26" borderId="7" xfId="2" applyFill="1" applyBorder="1" applyAlignment="1">
      <alignment horizontal="center" vertical="center"/>
    </xf>
    <xf numFmtId="0" fontId="25" fillId="6" borderId="0" xfId="5" applyFont="1" applyAlignment="1">
      <alignment horizontal="center" vertical="center"/>
    </xf>
    <xf numFmtId="0" fontId="5" fillId="14" borderId="23" xfId="13" applyBorder="1" applyAlignment="1">
      <alignment horizontal="center"/>
    </xf>
    <xf numFmtId="0" fontId="5" fillId="14" borderId="12" xfId="13" applyBorder="1" applyAlignment="1">
      <alignment horizontal="center"/>
    </xf>
    <xf numFmtId="0" fontId="5" fillId="14" borderId="24" xfId="13" applyBorder="1" applyAlignment="1">
      <alignment horizontal="center"/>
    </xf>
    <xf numFmtId="0" fontId="5" fillId="20" borderId="23" xfId="19" applyBorder="1" applyAlignment="1">
      <alignment horizontal="center"/>
    </xf>
    <xf numFmtId="0" fontId="5" fillId="20" borderId="12" xfId="19" applyBorder="1" applyAlignment="1">
      <alignment horizontal="center"/>
    </xf>
    <xf numFmtId="0" fontId="5" fillId="20" borderId="24" xfId="19" applyBorder="1" applyAlignment="1">
      <alignment horizontal="center"/>
    </xf>
    <xf numFmtId="0" fontId="5" fillId="6" borderId="23" xfId="5" applyBorder="1" applyAlignment="1">
      <alignment horizontal="center"/>
    </xf>
    <xf numFmtId="0" fontId="5" fillId="6" borderId="12" xfId="5" applyBorder="1" applyAlignment="1">
      <alignment horizontal="center"/>
    </xf>
    <xf numFmtId="0" fontId="5" fillId="6" borderId="24" xfId="5" applyBorder="1" applyAlignment="1">
      <alignment horizontal="center"/>
    </xf>
    <xf numFmtId="0" fontId="5" fillId="9" borderId="23" xfId="8" applyBorder="1" applyAlignment="1">
      <alignment horizontal="center"/>
    </xf>
    <xf numFmtId="0" fontId="5" fillId="9" borderId="12" xfId="8" applyBorder="1" applyAlignment="1">
      <alignment horizontal="center"/>
    </xf>
    <xf numFmtId="0" fontId="5" fillId="9" borderId="24" xfId="8" applyBorder="1" applyAlignment="1">
      <alignment horizontal="center"/>
    </xf>
    <xf numFmtId="0" fontId="4" fillId="4" borderId="42" xfId="3" applyBorder="1" applyAlignment="1">
      <alignment horizontal="center"/>
    </xf>
    <xf numFmtId="0" fontId="4" fillId="4" borderId="43" xfId="3" applyBorder="1" applyAlignment="1">
      <alignment horizontal="center"/>
    </xf>
    <xf numFmtId="0" fontId="4" fillId="4" borderId="11" xfId="3" applyBorder="1" applyAlignment="1">
      <alignment horizontal="center"/>
    </xf>
    <xf numFmtId="0" fontId="7" fillId="5" borderId="31" xfId="4" applyFont="1" applyBorder="1" applyAlignment="1">
      <alignment horizontal="center" vertical="center" wrapText="1"/>
    </xf>
    <xf numFmtId="0" fontId="7" fillId="5" borderId="32" xfId="4" applyFont="1" applyBorder="1" applyAlignment="1">
      <alignment horizontal="center" vertical="center" wrapText="1"/>
    </xf>
    <xf numFmtId="0" fontId="5" fillId="17" borderId="14" xfId="16" applyBorder="1" applyAlignment="1">
      <alignment horizontal="center"/>
    </xf>
    <xf numFmtId="0" fontId="5" fillId="17" borderId="12" xfId="16" applyBorder="1" applyAlignment="1">
      <alignment horizontal="center"/>
    </xf>
    <xf numFmtId="0" fontId="5" fillId="17" borderId="13" xfId="16" applyBorder="1" applyAlignment="1">
      <alignment horizontal="center"/>
    </xf>
    <xf numFmtId="0" fontId="5" fillId="19" borderId="34" xfId="18" applyBorder="1" applyAlignment="1">
      <alignment horizontal="center"/>
    </xf>
    <xf numFmtId="0" fontId="5" fillId="19" borderId="17" xfId="18" applyBorder="1" applyAlignment="1">
      <alignment horizontal="center"/>
    </xf>
    <xf numFmtId="0" fontId="8" fillId="18" borderId="6" xfId="17" applyFont="1" applyBorder="1" applyAlignment="1">
      <alignment horizontal="center" vertical="center"/>
    </xf>
    <xf numFmtId="0" fontId="8" fillId="18" borderId="0" xfId="17" applyFont="1" applyAlignment="1">
      <alignment horizontal="center" vertical="center"/>
    </xf>
    <xf numFmtId="0" fontId="8" fillId="18" borderId="8" xfId="17" applyFont="1" applyBorder="1" applyAlignment="1">
      <alignment horizontal="center" vertical="center"/>
    </xf>
    <xf numFmtId="0" fontId="8" fillId="18" borderId="9" xfId="17" applyFont="1" applyBorder="1" applyAlignment="1">
      <alignment horizontal="center" vertical="center"/>
    </xf>
    <xf numFmtId="0" fontId="8" fillId="18" borderId="7" xfId="17" applyFont="1" applyBorder="1" applyAlignment="1">
      <alignment horizontal="center" vertical="center"/>
    </xf>
    <xf numFmtId="0" fontId="8" fillId="18" borderId="10" xfId="17" applyFont="1" applyBorder="1" applyAlignment="1">
      <alignment horizontal="center" vertical="center"/>
    </xf>
    <xf numFmtId="0" fontId="5" fillId="19" borderId="16" xfId="18" applyBorder="1" applyAlignment="1">
      <alignment horizontal="center"/>
    </xf>
    <xf numFmtId="0" fontId="5" fillId="19" borderId="47" xfId="18" applyBorder="1" applyAlignment="1">
      <alignment horizontal="center"/>
    </xf>
    <xf numFmtId="0" fontId="5" fillId="19" borderId="35" xfId="18" applyBorder="1" applyAlignment="1">
      <alignment horizontal="center"/>
    </xf>
    <xf numFmtId="0" fontId="32" fillId="23" borderId="3" xfId="1" applyFont="1" applyFill="1" applyBorder="1" applyAlignment="1">
      <alignment horizontal="center" vertical="center"/>
    </xf>
    <xf numFmtId="0" fontId="32" fillId="23" borderId="8" xfId="1" applyFont="1" applyFill="1" applyBorder="1" applyAlignment="1">
      <alignment horizontal="center" vertical="center"/>
    </xf>
    <xf numFmtId="0" fontId="12" fillId="25" borderId="3" xfId="3" applyFont="1" applyFill="1" applyBorder="1" applyAlignment="1">
      <alignment horizontal="center" vertical="center"/>
    </xf>
    <xf numFmtId="0" fontId="12" fillId="25" borderId="46" xfId="3" applyFont="1" applyFill="1" applyBorder="1" applyAlignment="1">
      <alignment horizontal="center" vertical="center"/>
    </xf>
    <xf numFmtId="0" fontId="20" fillId="25" borderId="4" xfId="3" applyFont="1" applyFill="1" applyBorder="1" applyAlignment="1">
      <alignment horizontal="center" vertical="center"/>
    </xf>
    <xf numFmtId="0" fontId="20" fillId="25" borderId="36" xfId="3" applyFont="1" applyFill="1" applyBorder="1" applyAlignment="1">
      <alignment horizontal="center" vertical="center"/>
    </xf>
    <xf numFmtId="0" fontId="9" fillId="2" borderId="4" xfId="1" applyFont="1" applyBorder="1" applyAlignment="1">
      <alignment horizontal="center" vertical="center"/>
    </xf>
    <xf numFmtId="0" fontId="9" fillId="2" borderId="5" xfId="1" applyFont="1" applyBorder="1" applyAlignment="1">
      <alignment horizontal="center" vertical="center"/>
    </xf>
    <xf numFmtId="0" fontId="9" fillId="2" borderId="0" xfId="1" applyFont="1" applyAlignment="1">
      <alignment horizontal="center" vertical="center"/>
    </xf>
    <xf numFmtId="0" fontId="9" fillId="2" borderId="7" xfId="1" applyFont="1" applyBorder="1" applyAlignment="1">
      <alignment horizontal="center" vertical="center"/>
    </xf>
    <xf numFmtId="0" fontId="10" fillId="23" borderId="3" xfId="1" applyFont="1" applyFill="1" applyBorder="1" applyAlignment="1">
      <alignment horizontal="center" vertical="center"/>
    </xf>
    <xf numFmtId="0" fontId="10" fillId="23" borderId="4" xfId="1" applyFont="1" applyFill="1" applyBorder="1" applyAlignment="1">
      <alignment horizontal="center" vertical="center"/>
    </xf>
    <xf numFmtId="0" fontId="10" fillId="23" borderId="8" xfId="1" applyFont="1" applyFill="1" applyBorder="1" applyAlignment="1">
      <alignment horizontal="center" vertical="center"/>
    </xf>
    <xf numFmtId="0" fontId="10" fillId="23" borderId="9" xfId="1" applyFont="1" applyFill="1" applyBorder="1" applyAlignment="1">
      <alignment horizontal="center" vertical="center"/>
    </xf>
    <xf numFmtId="0" fontId="10" fillId="23" borderId="5" xfId="1" applyFont="1" applyFill="1" applyBorder="1" applyAlignment="1">
      <alignment horizontal="center" vertical="center"/>
    </xf>
    <xf numFmtId="0" fontId="10" fillId="23" borderId="10" xfId="1" applyFont="1" applyFill="1" applyBorder="1" applyAlignment="1">
      <alignment horizontal="center" vertical="center"/>
    </xf>
    <xf numFmtId="0" fontId="9" fillId="2" borderId="3" xfId="1" applyFont="1" applyBorder="1" applyAlignment="1">
      <alignment horizontal="center" vertical="center"/>
    </xf>
    <xf numFmtId="0" fontId="9" fillId="2" borderId="6" xfId="1" applyFont="1" applyBorder="1" applyAlignment="1">
      <alignment horizontal="center" vertical="center"/>
    </xf>
    <xf numFmtId="0" fontId="24" fillId="25" borderId="43" xfId="3" applyFont="1" applyFill="1" applyBorder="1" applyAlignment="1">
      <alignment horizontal="center" vertical="center"/>
    </xf>
    <xf numFmtId="0" fontId="5" fillId="12" borderId="19" xfId="11" applyBorder="1" applyAlignment="1">
      <alignment horizontal="center"/>
    </xf>
    <xf numFmtId="0" fontId="5" fillId="12" borderId="20" xfId="11" applyBorder="1" applyAlignment="1">
      <alignment horizontal="center"/>
    </xf>
    <xf numFmtId="0" fontId="5" fillId="12" borderId="21" xfId="11" applyBorder="1" applyAlignment="1">
      <alignment horizontal="center"/>
    </xf>
    <xf numFmtId="0" fontId="6" fillId="5" borderId="4" xfId="4" applyFont="1" applyBorder="1" applyAlignment="1">
      <alignment horizontal="center" vertical="center"/>
    </xf>
    <xf numFmtId="0" fontId="6" fillId="5" borderId="5" xfId="4" applyFont="1" applyBorder="1" applyAlignment="1">
      <alignment horizontal="center" vertical="center"/>
    </xf>
    <xf numFmtId="0" fontId="6" fillId="5" borderId="0" xfId="4" applyFont="1" applyBorder="1" applyAlignment="1">
      <alignment horizontal="center" vertical="center"/>
    </xf>
    <xf numFmtId="0" fontId="6" fillId="5" borderId="7" xfId="4" applyFont="1" applyBorder="1" applyAlignment="1">
      <alignment horizontal="center" vertical="center"/>
    </xf>
    <xf numFmtId="0" fontId="0" fillId="5" borderId="9" xfId="4" applyFont="1" applyBorder="1" applyAlignment="1">
      <alignment horizontal="center"/>
    </xf>
    <xf numFmtId="0" fontId="0" fillId="5" borderId="10" xfId="4" applyFont="1" applyBorder="1" applyAlignment="1">
      <alignment horizontal="center"/>
    </xf>
    <xf numFmtId="0" fontId="0" fillId="5" borderId="4" xfId="4" applyFont="1" applyBorder="1" applyAlignment="1">
      <alignment horizontal="center"/>
    </xf>
    <xf numFmtId="0" fontId="0" fillId="5" borderId="5" xfId="4" applyFont="1" applyBorder="1" applyAlignment="1">
      <alignment horizontal="center"/>
    </xf>
    <xf numFmtId="0" fontId="20" fillId="25" borderId="5" xfId="3" applyFont="1" applyFill="1" applyBorder="1" applyAlignment="1">
      <alignment horizontal="center" vertical="center"/>
    </xf>
    <xf numFmtId="0" fontId="20" fillId="25" borderId="37" xfId="3" applyFont="1" applyFill="1" applyBorder="1" applyAlignment="1">
      <alignment horizontal="center" vertical="center"/>
    </xf>
    <xf numFmtId="0" fontId="30" fillId="23" borderId="4" xfId="1" applyFont="1" applyFill="1" applyBorder="1" applyAlignment="1">
      <alignment horizontal="center" vertical="center"/>
    </xf>
    <xf numFmtId="0" fontId="30" fillId="23" borderId="9" xfId="1" applyFont="1" applyFill="1" applyBorder="1" applyAlignment="1">
      <alignment horizontal="center" vertical="center"/>
    </xf>
    <xf numFmtId="0" fontId="21" fillId="24" borderId="39" xfId="3" applyFont="1" applyFill="1" applyBorder="1" applyAlignment="1">
      <alignment horizontal="center" vertical="center"/>
    </xf>
    <xf numFmtId="0" fontId="21" fillId="24" borderId="10" xfId="3" applyFont="1" applyFill="1" applyBorder="1" applyAlignment="1">
      <alignment horizontal="center" vertical="center"/>
    </xf>
    <xf numFmtId="0" fontId="21" fillId="24" borderId="38" xfId="3" applyFont="1" applyFill="1" applyBorder="1" applyAlignment="1">
      <alignment horizontal="center" vertical="center"/>
    </xf>
    <xf numFmtId="0" fontId="21" fillId="24" borderId="9" xfId="3" applyFont="1" applyFill="1" applyBorder="1" applyAlignment="1">
      <alignment horizontal="center" vertical="center"/>
    </xf>
    <xf numFmtId="0" fontId="19" fillId="27" borderId="7" xfId="0" applyFont="1" applyFill="1" applyBorder="1" applyAlignment="1">
      <alignment horizontal="center" vertical="center"/>
    </xf>
    <xf numFmtId="0" fontId="19" fillId="27" borderId="41" xfId="0" applyFont="1" applyFill="1" applyBorder="1" applyAlignment="1">
      <alignment horizontal="center" vertical="center"/>
    </xf>
    <xf numFmtId="0" fontId="18" fillId="27" borderId="6" xfId="0" applyFont="1" applyFill="1" applyBorder="1" applyAlignment="1">
      <alignment horizontal="center" vertical="center"/>
    </xf>
    <xf numFmtId="0" fontId="18" fillId="27" borderId="0" xfId="0" applyFont="1" applyFill="1" applyAlignment="1">
      <alignment horizontal="center" vertical="center"/>
    </xf>
    <xf numFmtId="0" fontId="18" fillId="27" borderId="40" xfId="0" applyFont="1" applyFill="1" applyBorder="1" applyAlignment="1">
      <alignment horizontal="center" vertical="center"/>
    </xf>
    <xf numFmtId="0" fontId="18" fillId="27" borderId="30" xfId="0" applyFont="1" applyFill="1" applyBorder="1" applyAlignment="1">
      <alignment horizontal="center" vertical="center"/>
    </xf>
    <xf numFmtId="0" fontId="13" fillId="24" borderId="45" xfId="3" applyFont="1" applyFill="1" applyBorder="1" applyAlignment="1">
      <alignment horizontal="center" vertical="center"/>
    </xf>
    <xf numFmtId="0" fontId="13" fillId="24" borderId="8" xfId="3" applyFont="1" applyFill="1" applyBorder="1" applyAlignment="1">
      <alignment horizontal="center" vertical="center"/>
    </xf>
    <xf numFmtId="0" fontId="17" fillId="26" borderId="7" xfId="0" applyFont="1" applyFill="1" applyBorder="1" applyAlignment="1">
      <alignment horizontal="center" vertical="center"/>
    </xf>
    <xf numFmtId="0" fontId="17" fillId="26" borderId="10" xfId="0" applyFont="1" applyFill="1" applyBorder="1" applyAlignment="1">
      <alignment horizontal="center" vertical="center"/>
    </xf>
  </cellXfs>
  <cellStyles count="25">
    <cellStyle name="20% - Ênfase1" xfId="6" builtinId="30"/>
    <cellStyle name="20% - Ênfase2" xfId="9" builtinId="34"/>
    <cellStyle name="20% - Ênfase4" xfId="14" builtinId="42"/>
    <cellStyle name="20% - Ênfase5" xfId="17" builtinId="46"/>
    <cellStyle name="20% - Ênfase6" xfId="20" builtinId="50"/>
    <cellStyle name="40% - Ênfase1" xfId="7" builtinId="31"/>
    <cellStyle name="40% - Ênfase2" xfId="10" builtinId="35"/>
    <cellStyle name="40% - Ênfase4" xfId="15" builtinId="43"/>
    <cellStyle name="40% - Ênfase6" xfId="21" builtinId="51"/>
    <cellStyle name="60% - Ênfase1" xfId="23" builtinId="32"/>
    <cellStyle name="60% - Ênfase3" xfId="12" builtinId="40"/>
    <cellStyle name="60% - Ênfase5" xfId="18" builtinId="48"/>
    <cellStyle name="60% - Ênfase6" xfId="22" builtinId="52"/>
    <cellStyle name="Bom" xfId="24" builtinId="26"/>
    <cellStyle name="Ênfase1" xfId="5" builtinId="29"/>
    <cellStyle name="Ênfase2" xfId="8" builtinId="33"/>
    <cellStyle name="Ênfase3" xfId="11" builtinId="37"/>
    <cellStyle name="Ênfase4" xfId="13" builtinId="41"/>
    <cellStyle name="Ênfase5" xfId="16" builtinId="45"/>
    <cellStyle name="Ênfase6" xfId="19" builtinId="49"/>
    <cellStyle name="Entrada" xfId="3" builtinId="20"/>
    <cellStyle name="Neutro" xfId="2" builtinId="28"/>
    <cellStyle name="Normal" xfId="0" builtinId="0"/>
    <cellStyle name="Nota" xfId="4" builtinId="10"/>
    <cellStyle name="Ruim" xfId="1" builtinId="27"/>
  </cellStyles>
  <dxfs count="25">
    <dxf>
      <fill>
        <patternFill patternType="solid">
          <fgColor indexed="64"/>
          <bgColor theme="5" tint="0.59999389629810485"/>
        </patternFill>
      </fill>
      <alignment horizontal="center" vertical="bottom" textRotation="0" wrapText="0" indent="0" justifyLastLine="0" shrinkToFit="0" readingOrder="0"/>
    </dxf>
    <dxf>
      <fill>
        <patternFill patternType="solid">
          <fgColor indexed="64"/>
          <bgColor theme="5" tint="0.59999389629810485"/>
        </patternFill>
      </fill>
      <alignment horizontal="center" vertical="bottom" textRotation="0" wrapText="0" indent="0" justifyLastLine="0" shrinkToFit="0" readingOrder="0"/>
    </dxf>
    <dxf>
      <fill>
        <patternFill patternType="solid">
          <fgColor indexed="64"/>
          <bgColor theme="5" tint="0.59999389629810485"/>
        </patternFill>
      </fill>
      <alignment horizontal="center" vertical="bottom" textRotation="0" wrapText="0" indent="0" justifyLastLine="0" shrinkToFit="0" readingOrder="0"/>
    </dxf>
    <dxf>
      <fill>
        <patternFill patternType="solid">
          <fgColor indexed="64"/>
          <bgColor theme="5" tint="0.59999389629810485"/>
        </patternFill>
      </fill>
      <alignment horizontal="center"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bgColor theme="5" tint="0.39994506668294322"/>
        </patternFill>
      </fill>
    </dxf>
  </dxfs>
  <tableStyles count="1" defaultTableStyle="TableStyleMedium2" defaultPivotStyle="PivotStyleLight16">
    <tableStyle name="Langugage" pivot="0" count="1" xr9:uid="{00000000-0011-0000-FFFF-FFFF00000000}">
      <tableStyleElement type="wholeTable" dxfId="24"/>
    </tableStyle>
  </tableStyles>
  <colors>
    <mruColors>
      <color rgb="FFFED562"/>
      <color rgb="FF082F86"/>
      <color rgb="FF55C9FD"/>
      <color rgb="FF744006"/>
      <color rgb="FF094718"/>
      <color rgb="FF0E6810"/>
      <color rgb="FF23E509"/>
      <color rgb="FF5BF362"/>
      <color rgb="FF11ED1B"/>
      <color rgb="FF32E4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419100</xdr:colOff>
          <xdr:row>4</xdr:row>
          <xdr:rowOff>19050</xdr:rowOff>
        </xdr:from>
        <xdr:to>
          <xdr:col>0</xdr:col>
          <xdr:colOff>590550</xdr:colOff>
          <xdr:row>4</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5</xdr:row>
          <xdr:rowOff>9525</xdr:rowOff>
        </xdr:from>
        <xdr:to>
          <xdr:col>0</xdr:col>
          <xdr:colOff>590550</xdr:colOff>
          <xdr:row>5</xdr:row>
          <xdr:rowOff>180975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6</xdr:row>
          <xdr:rowOff>9525</xdr:rowOff>
        </xdr:from>
        <xdr:to>
          <xdr:col>0</xdr:col>
          <xdr:colOff>590550</xdr:colOff>
          <xdr:row>6</xdr:row>
          <xdr:rowOff>180975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8</xdr:row>
          <xdr:rowOff>19050</xdr:rowOff>
        </xdr:from>
        <xdr:to>
          <xdr:col>0</xdr:col>
          <xdr:colOff>590550</xdr:colOff>
          <xdr:row>8</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9</xdr:row>
          <xdr:rowOff>9525</xdr:rowOff>
        </xdr:from>
        <xdr:to>
          <xdr:col>0</xdr:col>
          <xdr:colOff>590550</xdr:colOff>
          <xdr:row>9</xdr:row>
          <xdr:rowOff>180975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10</xdr:row>
          <xdr:rowOff>9525</xdr:rowOff>
        </xdr:from>
        <xdr:to>
          <xdr:col>0</xdr:col>
          <xdr:colOff>590550</xdr:colOff>
          <xdr:row>10</xdr:row>
          <xdr:rowOff>180975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11</xdr:row>
          <xdr:rowOff>9525</xdr:rowOff>
        </xdr:from>
        <xdr:to>
          <xdr:col>0</xdr:col>
          <xdr:colOff>590550</xdr:colOff>
          <xdr:row>11</xdr:row>
          <xdr:rowOff>180975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13</xdr:row>
          <xdr:rowOff>9525</xdr:rowOff>
        </xdr:from>
        <xdr:to>
          <xdr:col>0</xdr:col>
          <xdr:colOff>590550</xdr:colOff>
          <xdr:row>13</xdr:row>
          <xdr:rowOff>180975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14</xdr:row>
          <xdr:rowOff>9525</xdr:rowOff>
        </xdr:from>
        <xdr:to>
          <xdr:col>0</xdr:col>
          <xdr:colOff>590550</xdr:colOff>
          <xdr:row>14</xdr:row>
          <xdr:rowOff>180975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15</xdr:row>
          <xdr:rowOff>9525</xdr:rowOff>
        </xdr:from>
        <xdr:to>
          <xdr:col>0</xdr:col>
          <xdr:colOff>590550</xdr:colOff>
          <xdr:row>15</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17</xdr:row>
          <xdr:rowOff>9525</xdr:rowOff>
        </xdr:from>
        <xdr:to>
          <xdr:col>0</xdr:col>
          <xdr:colOff>590550</xdr:colOff>
          <xdr:row>17</xdr:row>
          <xdr:rowOff>180975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18</xdr:row>
          <xdr:rowOff>9525</xdr:rowOff>
        </xdr:from>
        <xdr:to>
          <xdr:col>0</xdr:col>
          <xdr:colOff>590550</xdr:colOff>
          <xdr:row>18</xdr:row>
          <xdr:rowOff>180975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19</xdr:row>
          <xdr:rowOff>9525</xdr:rowOff>
        </xdr:from>
        <xdr:to>
          <xdr:col>0</xdr:col>
          <xdr:colOff>590550</xdr:colOff>
          <xdr:row>19</xdr:row>
          <xdr:rowOff>180975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20</xdr:row>
          <xdr:rowOff>9525</xdr:rowOff>
        </xdr:from>
        <xdr:to>
          <xdr:col>0</xdr:col>
          <xdr:colOff>590550</xdr:colOff>
          <xdr:row>20</xdr:row>
          <xdr:rowOff>180975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21</xdr:row>
          <xdr:rowOff>9525</xdr:rowOff>
        </xdr:from>
        <xdr:to>
          <xdr:col>0</xdr:col>
          <xdr:colOff>590550</xdr:colOff>
          <xdr:row>21</xdr:row>
          <xdr:rowOff>180975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22</xdr:row>
          <xdr:rowOff>9525</xdr:rowOff>
        </xdr:from>
        <xdr:to>
          <xdr:col>0</xdr:col>
          <xdr:colOff>590550</xdr:colOff>
          <xdr:row>22</xdr:row>
          <xdr:rowOff>180975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23</xdr:row>
          <xdr:rowOff>9525</xdr:rowOff>
        </xdr:from>
        <xdr:to>
          <xdr:col>0</xdr:col>
          <xdr:colOff>590550</xdr:colOff>
          <xdr:row>23</xdr:row>
          <xdr:rowOff>180975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24</xdr:row>
          <xdr:rowOff>9525</xdr:rowOff>
        </xdr:from>
        <xdr:to>
          <xdr:col>0</xdr:col>
          <xdr:colOff>590550</xdr:colOff>
          <xdr:row>24</xdr:row>
          <xdr:rowOff>180975</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1</xdr:row>
          <xdr:rowOff>38100</xdr:rowOff>
        </xdr:from>
        <xdr:to>
          <xdr:col>9</xdr:col>
          <xdr:colOff>695325</xdr:colOff>
          <xdr:row>2</xdr:row>
          <xdr:rowOff>152400</xdr:rowOff>
        </xdr:to>
        <xdr:sp macro="" textlink="">
          <xdr:nvSpPr>
            <xdr:cNvPr id="1051" name="XPPlus"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30</xdr:row>
          <xdr:rowOff>95250</xdr:rowOff>
        </xdr:from>
        <xdr:to>
          <xdr:col>14</xdr:col>
          <xdr:colOff>47625</xdr:colOff>
          <xdr:row>31</xdr:row>
          <xdr:rowOff>285750</xdr:rowOff>
        </xdr:to>
        <xdr:sp macro="" textlink="">
          <xdr:nvSpPr>
            <xdr:cNvPr id="1052" name="CommandButton1"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5" displayName="Table5" ref="H33:K40" headerRowCount="0" totalsRowShown="0" headerRowDxfId="23" dataDxfId="22">
  <tableColumns count="4">
    <tableColumn id="1" xr3:uid="{00000000-0010-0000-0000-000001000000}" name="Column1" dataDxfId="21"/>
    <tableColumn id="2" xr3:uid="{00000000-0010-0000-0000-000002000000}" name="Column2" dataDxfId="20"/>
    <tableColumn id="3" xr3:uid="{00000000-0010-0000-0000-000003000000}" name="Column3" dataDxfId="19"/>
    <tableColumn id="4" xr3:uid="{00000000-0010-0000-0000-000004000000}" name="Column4" headerRowDxfId="18" dataDxfId="17"/>
  </tableColumns>
  <tableStyleInfo name="TableStyleDark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P5:R7" headerRowCount="0" totalsRowShown="0">
  <tableColumns count="3">
    <tableColumn id="1" xr3:uid="{00000000-0010-0000-0100-000001000000}" name="Column1" dataDxfId="16"/>
    <tableColumn id="2" xr3:uid="{00000000-0010-0000-0100-000002000000}" name="Column2" dataDxfId="15"/>
    <tableColumn id="3" xr3:uid="{00000000-0010-0000-0100-000003000000}" name="Column3" dataDxfId="14"/>
  </tableColumns>
  <tableStyleInfo name="TableStyleLight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73" displayName="Table73" ref="P33:U36" headerRowCount="0" totalsRowShown="0" headerRowDxfId="13" dataDxfId="12">
  <tableColumns count="6">
    <tableColumn id="1" xr3:uid="{00000000-0010-0000-0200-000001000000}" name="Column1" dataDxfId="11"/>
    <tableColumn id="2" xr3:uid="{00000000-0010-0000-0200-000002000000}" name="Column2" dataDxfId="10"/>
    <tableColumn id="3" xr3:uid="{00000000-0010-0000-0200-000003000000}" name="Column3" dataDxfId="9"/>
    <tableColumn id="4" xr3:uid="{00000000-0010-0000-0200-000004000000}" name="Column4" dataDxfId="8"/>
    <tableColumn id="5" xr3:uid="{00000000-0010-0000-0200-000005000000}" name="Column5" headerRowDxfId="7" dataDxfId="6"/>
    <tableColumn id="6" xr3:uid="{00000000-0010-0000-0200-000006000000}" name="Column6" headerRowDxfId="5" dataDxfId="4"/>
  </tableColumns>
  <tableStyleInfo name="TableStyleDark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4" displayName="Table34" ref="T10:T11" headerRowCount="0" totalsRowShown="0" headerRowDxfId="3" dataDxfId="2">
  <tableColumns count="1">
    <tableColumn id="1" xr3:uid="{00000000-0010-0000-0300-000001000000}" name="Column1" headerRowDxfId="1" dataDxfId="0"/>
  </tableColumns>
  <tableStyleInfo name="Langugag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table" Target="../tables/table3.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2"/>
  <sheetViews>
    <sheetView showGridLines="0" tabSelected="1" topLeftCell="B1" zoomScale="85" zoomScaleNormal="85" workbookViewId="0">
      <selection activeCell="F32" sqref="F32"/>
    </sheetView>
  </sheetViews>
  <sheetFormatPr defaultRowHeight="15" x14ac:dyDescent="0.25"/>
  <cols>
    <col min="2" max="2" width="12.7109375" bestFit="1" customWidth="1"/>
    <col min="3" max="3" width="5.7109375" customWidth="1"/>
    <col min="4" max="4" width="6.140625" customWidth="1"/>
    <col min="5" max="5" width="6.85546875" bestFit="1" customWidth="1"/>
    <col min="6" max="6" width="10.85546875" customWidth="1"/>
    <col min="7" max="7" width="2.85546875" customWidth="1"/>
    <col min="8" max="8" width="14.85546875" customWidth="1"/>
    <col min="9" max="9" width="63.140625" customWidth="1"/>
    <col min="10" max="10" width="11.28515625" customWidth="1"/>
    <col min="11" max="11" width="10.85546875" customWidth="1"/>
    <col min="12" max="12" width="8" customWidth="1"/>
    <col min="13" max="13" width="1.85546875" customWidth="1"/>
    <col min="14" max="14" width="6" bestFit="1" customWidth="1"/>
    <col min="15" max="15" width="2.28515625" customWidth="1"/>
    <col min="16" max="16" width="13.140625" bestFit="1" customWidth="1"/>
    <col min="17" max="17" width="15.7109375" customWidth="1"/>
    <col min="18" max="18" width="63.7109375" customWidth="1"/>
    <col min="19" max="19" width="15.7109375" customWidth="1"/>
    <col min="20" max="20" width="8.42578125" bestFit="1" customWidth="1"/>
    <col min="21" max="21" width="12.42578125" customWidth="1"/>
    <col min="22" max="22" width="9.140625" customWidth="1"/>
  </cols>
  <sheetData>
    <row r="1" spans="1:22" ht="15.75" thickBot="1" x14ac:dyDescent="0.3"/>
    <row r="2" spans="1:22" ht="15" customHeight="1" thickTop="1" thickBot="1" x14ac:dyDescent="0.3">
      <c r="A2" s="13"/>
      <c r="B2" s="160" t="str">
        <f>IF(L24 = 0,"Attributes","Atributos")</f>
        <v>Atributos</v>
      </c>
      <c r="C2" s="161"/>
      <c r="D2" s="161"/>
      <c r="E2" s="161"/>
      <c r="F2" s="162"/>
      <c r="H2" s="45" t="str">
        <f>IF(L24 = 0, "Name:", "Nome:")</f>
        <v>Nome:</v>
      </c>
      <c r="I2" s="52" t="s">
        <v>40</v>
      </c>
      <c r="K2" s="87" t="s">
        <v>2</v>
      </c>
      <c r="L2" s="83">
        <v>0</v>
      </c>
      <c r="M2" s="83"/>
      <c r="N2" s="84"/>
      <c r="P2" s="91" t="str">
        <f>IF(L24=0,"Inventory", "Inventário")</f>
        <v>Inventário</v>
      </c>
      <c r="Q2" s="91"/>
      <c r="R2" s="91"/>
      <c r="T2" s="106" t="str">
        <f>IF(L24=0, "Movement", "Movimento")</f>
        <v>Movimento</v>
      </c>
      <c r="U2" s="107"/>
      <c r="V2" s="108"/>
    </row>
    <row r="3" spans="1:22" ht="15.75" customHeight="1" thickBot="1" x14ac:dyDescent="0.3">
      <c r="A3" s="13"/>
      <c r="B3" s="37" t="str">
        <f>IF(L24 = 0,"Name","Nome")</f>
        <v>Nome</v>
      </c>
      <c r="C3" s="38" t="str">
        <f>IF(L24 = 0,"Cost","Custo")</f>
        <v>Custo</v>
      </c>
      <c r="D3" s="38" t="str">
        <f>IF(L24 = 0,"Score","Valor")</f>
        <v>Valor</v>
      </c>
      <c r="E3" s="38" t="str">
        <f>IF(L24=0, "Bonus", "Bonus")</f>
        <v>Bonus</v>
      </c>
      <c r="F3" s="39" t="str">
        <f>IF(L24 = 0,"Dice","Dado")</f>
        <v>Dado</v>
      </c>
      <c r="K3" s="88"/>
      <c r="L3" s="85"/>
      <c r="M3" s="85"/>
      <c r="N3" s="86"/>
      <c r="O3" s="2"/>
      <c r="P3" s="91"/>
      <c r="Q3" s="91"/>
      <c r="R3" s="91"/>
      <c r="T3" s="54" t="str">
        <f>IF(L24=0, "Normal", "Normal")</f>
        <v>Normal</v>
      </c>
      <c r="U3" s="66">
        <f>IF(L29 &gt; 7, 7, IF(L29 &lt; 4, 5, 6))</f>
        <v>6</v>
      </c>
      <c r="V3" s="67" t="str">
        <f>($U3 *1.5) &amp; "m"</f>
        <v>9m</v>
      </c>
    </row>
    <row r="4" spans="1:22" ht="15" customHeight="1" thickBot="1" x14ac:dyDescent="0.3">
      <c r="A4" s="13"/>
      <c r="B4" s="119" t="str">
        <f>IF(L24 = 0,"Physical","Físicos")</f>
        <v>Físicos</v>
      </c>
      <c r="C4" s="120"/>
      <c r="D4" s="120"/>
      <c r="E4" s="120"/>
      <c r="F4" s="121"/>
      <c r="K4" s="87" t="s">
        <v>1</v>
      </c>
      <c r="L4" s="83">
        <v>1</v>
      </c>
      <c r="M4" s="83"/>
      <c r="N4" s="84"/>
      <c r="P4" s="46" t="s">
        <v>4</v>
      </c>
      <c r="Q4" s="46" t="str">
        <f>IF(L24 = 0, "Item", "Item")</f>
        <v>Item</v>
      </c>
      <c r="R4" s="46" t="str">
        <f>IF(L24 = 0, "Description", "Descrição")</f>
        <v>Descrição</v>
      </c>
      <c r="T4" s="55" t="str">
        <f>IF(L24=0, "Difficult", "Difícil")</f>
        <v>Difícil</v>
      </c>
      <c r="U4" s="68">
        <f>IF(L29 &gt; 7, 3, IF(L29 &lt; 4, 5, 4))</f>
        <v>4</v>
      </c>
      <c r="V4" s="56" t="str">
        <f>($U4 *1.5) &amp; "m"</f>
        <v>6m</v>
      </c>
    </row>
    <row r="5" spans="1:22" ht="15.75" customHeight="1" thickBot="1" x14ac:dyDescent="0.3">
      <c r="A5" s="13"/>
      <c r="B5" s="14" t="str">
        <f>IF(L24 = 0,"Agility","Agilidade")</f>
        <v>Agilidade</v>
      </c>
      <c r="C5" s="3">
        <f>IFERROR(_xlfn.NUMBERVALUE(D5), 0) * (IFERROR(_xlfn.NUMBERVALUE(D5), 0) + 1) / 2</f>
        <v>1</v>
      </c>
      <c r="D5" s="3">
        <v>1</v>
      </c>
      <c r="E5" s="3"/>
      <c r="F5" s="15" t="str">
        <f t="shared" ref="F5:F7" si="0">IF(D5 + E5 &lt; 1,"1d2",IF(D5 + E5 = 1, "1d4", IF(D5 + E5 = 2, "1d6", IF(D5 + E5 = 3, "1d8", IF(D5 + E5 = 4, "1d10", IF(D5 + E5 = 5, "2d6", IF(D5 + E5 = 6, "2d8", IF(D5 + E5 = 7, "2d10", IF(D5 + E5 = 8, "3d8", IF(D5 + E5 = 9, "3d10", IF(D5 + E5 = 10, "4d8", IF(D5 + E5 = 11, "6d6",IF(D5 + E5 = 12, "7d6",IF(D5 + E5 = 13, "6d8",IF(D5 + E5 = 14, "12d4",IF(D5 + E5 = 15, "6d10",IF(D5 + E5 = 16, "8d8",IF(D5 + E5 = 17, "7d10", ""))))))))))))))))))</f>
        <v>1d4</v>
      </c>
      <c r="K5" s="88"/>
      <c r="L5" s="85"/>
      <c r="M5" s="85"/>
      <c r="N5" s="86"/>
      <c r="P5" s="47">
        <v>1</v>
      </c>
      <c r="Q5" s="47" t="s">
        <v>31</v>
      </c>
      <c r="R5" s="48" t="s">
        <v>32</v>
      </c>
    </row>
    <row r="6" spans="1:22" ht="15" customHeight="1" thickBot="1" x14ac:dyDescent="0.3">
      <c r="A6" s="13"/>
      <c r="B6" s="16" t="str">
        <f>IF(L24 = 0,"Fortitude","Fortitude")</f>
        <v>Fortitude</v>
      </c>
      <c r="C6" s="4">
        <f t="shared" ref="C6:C7" si="1">IFERROR(_xlfn.NUMBERVALUE(D6), 0) * (IFERROR(_xlfn.NUMBERVALUE(D6), 0) + 1) / 2</f>
        <v>10</v>
      </c>
      <c r="D6" s="4">
        <v>4</v>
      </c>
      <c r="E6" s="4"/>
      <c r="F6" s="17" t="str">
        <f t="shared" si="0"/>
        <v>1d10</v>
      </c>
      <c r="L6" s="1"/>
      <c r="M6" s="1"/>
      <c r="N6" s="1"/>
      <c r="P6" s="47"/>
      <c r="Q6" s="47"/>
      <c r="R6" s="48"/>
      <c r="T6" s="73" t="s">
        <v>7</v>
      </c>
      <c r="U6" s="75">
        <f>8 + L14 + N14</f>
        <v>7</v>
      </c>
    </row>
    <row r="7" spans="1:22" ht="15" customHeight="1" thickBot="1" x14ac:dyDescent="0.3">
      <c r="A7" s="13"/>
      <c r="B7" s="18" t="str">
        <f>IF(L24 = 0,"Might","Força")</f>
        <v>Força</v>
      </c>
      <c r="C7" s="3">
        <f t="shared" si="1"/>
        <v>15</v>
      </c>
      <c r="D7" s="5">
        <v>5</v>
      </c>
      <c r="E7" s="64"/>
      <c r="F7" s="19" t="str">
        <f t="shared" si="0"/>
        <v>2d6</v>
      </c>
      <c r="K7" s="89" t="s">
        <v>3</v>
      </c>
      <c r="L7" s="92">
        <v>36</v>
      </c>
      <c r="M7" s="94" t="s">
        <v>0</v>
      </c>
      <c r="N7" s="96">
        <f>8+2*(D6+E6)+2*(D16+E16)+D12+E12+_xlfn.FLOOR.MATH(1.5*(D7+E7))+2*L4+6</f>
        <v>36</v>
      </c>
      <c r="P7" s="47"/>
      <c r="Q7" s="47"/>
      <c r="R7" s="48"/>
      <c r="T7" s="74"/>
      <c r="U7" s="76"/>
    </row>
    <row r="8" spans="1:22" ht="15" customHeight="1" thickBot="1" x14ac:dyDescent="0.3">
      <c r="A8" s="13"/>
      <c r="B8" s="116" t="str">
        <f>IF(L24 = 0,"Mental","Mentais")</f>
        <v>Mentais</v>
      </c>
      <c r="C8" s="117"/>
      <c r="D8" s="117"/>
      <c r="E8" s="117"/>
      <c r="F8" s="118"/>
      <c r="K8" s="90"/>
      <c r="L8" s="93"/>
      <c r="M8" s="95"/>
      <c r="N8" s="97"/>
      <c r="P8" s="47"/>
      <c r="Q8" s="47"/>
      <c r="R8" s="48"/>
    </row>
    <row r="9" spans="1:22" ht="15.75" customHeight="1" x14ac:dyDescent="0.25">
      <c r="A9" s="13"/>
      <c r="B9" s="20" t="str">
        <f>IF(L24 = 0,"Learning","Aprendizado")</f>
        <v>Aprendizado</v>
      </c>
      <c r="C9" s="8">
        <f t="shared" ref="C9:C12" si="2">IFERROR(_xlfn.NUMBERVALUE(D9), 0) * (IFERROR(_xlfn.NUMBERVALUE(D9), 0) + 1) / 2</f>
        <v>0</v>
      </c>
      <c r="D9" s="8"/>
      <c r="E9" s="8"/>
      <c r="F9" s="21" t="str">
        <f t="shared" ref="F9:F12" si="3">IF(D9 + E9 &lt; 1,"1d2",IF(D9 + E9 = 1, "1d4", IF(D9 + E9 = 2, "1d6", IF(D9 + E9 = 3, "1d8", IF(D9 + E9 = 4, "1d10", IF(D9 + E9 = 5, "2d6", IF(D9 + E9 = 6, "2d8", IF(D9 + E9 = 7, "2d10", IF(D9 + E9 = 8, "3d8", IF(D9 + E9 = 9, "3d10", IF(D9 + E9 = 10, "4d8", IF(D9 + E9 = 11, "6d6",IF(D9 + E9 = 12, "7d6",IF(D9 + E9 = 13, "6d8",IF(D9 + E9 = 14, "12d4",IF(D9 + E9 = 15, "6d10",IF(D9 + E9 = 16, "8d8",IF(D9 + E9 = 17, "7d10", ""))))))))))))))))))</f>
        <v>1d2</v>
      </c>
      <c r="K9" s="141" t="s">
        <v>8</v>
      </c>
      <c r="L9" s="173">
        <v>18</v>
      </c>
      <c r="M9" s="98" t="s">
        <v>0</v>
      </c>
      <c r="N9" s="100">
        <f xml:space="preserve"> _xlfn.CEILING.MATH(8 + 3*(D9 + E9) + 1.5*(D12 + E12) + 2*(D10 + E10) + 1.5*MAX(D18+E18, D19+E19, D20+E20, D21+E21, D22+E22, D23+E23, D24+E24, D25+E25) + 2*L4 )</f>
        <v>18</v>
      </c>
      <c r="P9" s="47"/>
      <c r="Q9" s="47"/>
      <c r="R9" s="48"/>
      <c r="T9" s="69" t="str">
        <f>IF($L$24=0, "Languages", "Línguas")</f>
        <v>Línguas</v>
      </c>
    </row>
    <row r="10" spans="1:22" ht="15" customHeight="1" thickBot="1" x14ac:dyDescent="0.3">
      <c r="A10" s="13"/>
      <c r="B10" s="22" t="str">
        <f>IF(L24 = 0,"Logic","Lógica")</f>
        <v>Lógica</v>
      </c>
      <c r="C10" s="9">
        <f t="shared" si="2"/>
        <v>0</v>
      </c>
      <c r="D10" s="9"/>
      <c r="E10" s="9"/>
      <c r="F10" s="23" t="str">
        <f t="shared" si="3"/>
        <v>1d2</v>
      </c>
      <c r="K10" s="142"/>
      <c r="L10" s="174"/>
      <c r="M10" s="99"/>
      <c r="N10" s="101"/>
      <c r="P10" s="47"/>
      <c r="Q10" s="47"/>
      <c r="R10" s="48"/>
      <c r="T10" s="70" t="str">
        <f>IF(L24=0, "Common", "Comum")</f>
        <v>Comum</v>
      </c>
    </row>
    <row r="11" spans="1:22" ht="15" customHeight="1" thickBot="1" x14ac:dyDescent="0.3">
      <c r="A11" s="13"/>
      <c r="B11" s="20" t="str">
        <f>IF(L24 = 0,"Perception","Percepção")</f>
        <v>Percepção</v>
      </c>
      <c r="C11" s="8">
        <f t="shared" si="2"/>
        <v>3</v>
      </c>
      <c r="D11" s="8">
        <v>2</v>
      </c>
      <c r="E11" s="8"/>
      <c r="F11" s="21" t="str">
        <f t="shared" si="3"/>
        <v>1d6</v>
      </c>
      <c r="P11" s="47"/>
      <c r="Q11" s="47"/>
      <c r="R11" s="48"/>
      <c r="T11" s="70" t="str">
        <f>IF(L24=0, "Elven", "Élfico")</f>
        <v>Élfico</v>
      </c>
    </row>
    <row r="12" spans="1:22" ht="15" customHeight="1" thickBot="1" x14ac:dyDescent="0.3">
      <c r="A12" s="13"/>
      <c r="B12" s="22" t="str">
        <f>IF(L24 = 0,"Will","Vontade")</f>
        <v>Vontade</v>
      </c>
      <c r="C12" s="9">
        <f t="shared" si="2"/>
        <v>6</v>
      </c>
      <c r="D12" s="9">
        <v>3</v>
      </c>
      <c r="E12" s="9"/>
      <c r="F12" s="23" t="str">
        <f t="shared" si="3"/>
        <v>1d8</v>
      </c>
      <c r="K12" s="143" t="str">
        <f>IF(L24 = 0, "GUARD", "GUARD")</f>
        <v>GUARD</v>
      </c>
      <c r="L12" s="145">
        <f>IF(OR(1.5*(D7) &lt; D5, IFERROR(_xlfn.NUMBERVALUE(L29), 0) = 0), 0, _xlfn.FLOOR.MATH(0.75*(D7 + E7) + 0.5*(D6 + E6) + 0.5*(D25 + E25) + (L29-5)))</f>
        <v>5</v>
      </c>
      <c r="M12" s="145" t="str">
        <f>IF(N12 &gt; 0, "+", "")</f>
        <v/>
      </c>
      <c r="N12" s="171"/>
      <c r="P12" s="47"/>
      <c r="Q12" s="47"/>
      <c r="R12" s="48"/>
    </row>
    <row r="13" spans="1:22" ht="15" customHeight="1" x14ac:dyDescent="0.25">
      <c r="A13" s="13"/>
      <c r="B13" s="113" t="str">
        <f>IF(L24 = 0,"Social","Sociais")</f>
        <v>Sociais</v>
      </c>
      <c r="C13" s="114"/>
      <c r="D13" s="114"/>
      <c r="E13" s="114"/>
      <c r="F13" s="115"/>
      <c r="K13" s="144"/>
      <c r="L13" s="146"/>
      <c r="M13" s="146"/>
      <c r="N13" s="172"/>
      <c r="P13" s="47"/>
      <c r="Q13" s="47"/>
      <c r="R13" s="48"/>
    </row>
    <row r="14" spans="1:22" ht="15" customHeight="1" x14ac:dyDescent="0.25">
      <c r="A14" s="13"/>
      <c r="B14" s="24" t="str">
        <f>IF(L24 = 0,"Deception","Enganação")</f>
        <v>Enganação</v>
      </c>
      <c r="C14" s="10">
        <f t="shared" ref="C14:C16" si="4">IFERROR(_xlfn.NUMBERVALUE(D14), 0) * (IFERROR(_xlfn.NUMBERVALUE(D14), 0) + 1) / 2</f>
        <v>0</v>
      </c>
      <c r="D14" s="10"/>
      <c r="E14" s="10"/>
      <c r="F14" s="25" t="str">
        <f t="shared" ref="F14" si="5">IF(D14 + E14 &lt; 1,"1d2",IF(D14 + E14 = 1, "1d4", IF(D14 + E14 = 2, "1d6", IF(D14 + E14 = 3, "1d8", IF(D14 + E14 = 4, "1d10", IF(D14 + E14 = 5, "2d6", IF(D14 + E14 = 6, "2d8", IF(D14 + E14 = 7, "2d10", IF(D14 + E14 = 8, "3d8", IF(D14 + E14 = 9, "3d10", IF(D14 + E14 = 10, "4d8", IF(D14 + E14 = 11, "6d6",IF(D14 + E14 = 12, "7d6",IF(D14 + E14 = 13, "6d8",IF(D14 + E14 = 14, "12d4",IF(D14 + E14 = 15, "6d10",IF(D14 + E14 = 16, "8d8",IF(D14 + E14 = 17, "7d10", ""))))))))))))))))))</f>
        <v>1d2</v>
      </c>
      <c r="K14" s="185" t="str">
        <f>IF(L24 = 0, "DODGE", "EVASÃO")</f>
        <v>EVASÃO</v>
      </c>
      <c r="L14" s="177">
        <f>IF(AND(D7&gt;1.5*(D5), ROUND(0.75*(D5 + E5) + 0.5*(D11 + E11) + 0.75*(D14 + E14) - 0.5*(D7 + E7) - 0.5*(L29 - 5), 0) &gt; 0), 0, ROUND(0.75*(D5 + E5) + 0.5*(D11 + E11)+ 1*(D14 + E14)  - 0.5*(D7 + E7) - 0.5*(L29 - 5), 0))</f>
        <v>-1</v>
      </c>
      <c r="M14" s="177" t="str">
        <f>IF(N14 &gt; 0, "+", "")</f>
        <v/>
      </c>
      <c r="N14" s="175"/>
      <c r="P14" s="47"/>
      <c r="Q14" s="47"/>
      <c r="R14" s="48"/>
    </row>
    <row r="15" spans="1:22" ht="15" customHeight="1" thickBot="1" x14ac:dyDescent="0.3">
      <c r="A15" s="13"/>
      <c r="B15" s="26" t="str">
        <f>IF(L24 = 0,"Persuation","Persuasão")</f>
        <v>Persuasão</v>
      </c>
      <c r="C15" s="12">
        <f t="shared" si="4"/>
        <v>0</v>
      </c>
      <c r="D15" s="12"/>
      <c r="E15" s="12"/>
      <c r="F15" s="27" t="str">
        <f>IF(D15 + E15 &lt; 1,"1d2",IF(D15 + E15 = 1, "1d4", IF(D15 + E15 = 2, "1d6", IF(D15 + E15 = 3, "1d8", IF(D15 + E15 = 4, "1d10", IF(D15 + E15 = 5, "2d6", IF(D15 + E15 = 6, "2d8", IF(D15 + E15 = 7, "2d10", IF(D15 + E15 = 8, "3d8", IF(D15 + E15 = 9, "3d10", IF(D15 + E15 = 10, "4d8", IF(D15 + E15 = 11, "6d6",IF(D15 + E15 = 12, "7d6",IF(D15 + E15 = 13, "6d8",IF(D15 + E15 = 14, "12d4",IF(D15 + E15 = 15, "6d10",IF(D15 + E15 = 16, "8d8",IF(D15 + E15 = 17, "7d10", ""))))))))))))))))))</f>
        <v>1d2</v>
      </c>
      <c r="K15" s="186"/>
      <c r="L15" s="178"/>
      <c r="M15" s="178"/>
      <c r="N15" s="176"/>
      <c r="P15" s="47"/>
      <c r="Q15" s="47"/>
      <c r="R15" s="48"/>
    </row>
    <row r="16" spans="1:22" ht="15" customHeight="1" thickBot="1" x14ac:dyDescent="0.3">
      <c r="A16" s="13"/>
      <c r="B16" s="28" t="str">
        <f>IF(L24 = 0,"Presence","Presença")</f>
        <v>Presença</v>
      </c>
      <c r="C16" s="11">
        <f t="shared" si="4"/>
        <v>1</v>
      </c>
      <c r="D16" s="11">
        <v>1</v>
      </c>
      <c r="E16" s="11"/>
      <c r="F16" s="29" t="str">
        <f t="shared" ref="F16" si="6">IF(D16 + E16 &lt; 1,"1d2",IF(D16 + E16 = 1, "1d4", IF(D16 + E16 = 2, "1d6", IF(D16 + E16 = 3, "1d8", IF(D16 + E16 = 4, "1d10", IF(D16 + E16 = 5, "2d6", IF(D16 + E16 = 6, "2d8", IF(D16 + E16 = 7, "2d10", IF(D16 + E16 = 8, "3d8", IF(D16 + E16 = 9, "3d10", IF(D16 + E16 = 10, "4d8", IF(D16 + E16 = 11, "6d6",IF(D16 + E16 = 12, "7d6",IF(D16 + E16 = 13, "6d8",IF(D16 + E16 = 14, "12d4",IF(D16 + E16 = 15, "6d10",IF(D16 + E16 = 16, "8d8",IF(D16 + E16 = 17, "7d10", ""))))))))))))))))))</f>
        <v>1d4</v>
      </c>
      <c r="L16" s="72"/>
      <c r="P16" s="47"/>
      <c r="Q16" s="47"/>
      <c r="R16" s="48"/>
    </row>
    <row r="17" spans="1:21" ht="15" customHeight="1" x14ac:dyDescent="0.25">
      <c r="A17" s="13"/>
      <c r="B17" s="110" t="str">
        <f>IF(L24 = 0,"Extraordinary","Extraordinários")</f>
        <v>Extraordinários</v>
      </c>
      <c r="C17" s="111"/>
      <c r="D17" s="111"/>
      <c r="E17" s="111"/>
      <c r="F17" s="112"/>
      <c r="K17" s="102" t="str">
        <f>IF(L24 = 0, "Skill Points", "Pontos de Habilidade")</f>
        <v>Pontos de Habilidade</v>
      </c>
      <c r="L17" s="103"/>
      <c r="M17" s="103"/>
      <c r="N17" s="81">
        <v>0</v>
      </c>
      <c r="P17" s="47"/>
      <c r="Q17" s="47"/>
      <c r="R17" s="48"/>
    </row>
    <row r="18" spans="1:21" x14ac:dyDescent="0.25">
      <c r="A18" s="13"/>
      <c r="B18" s="30" t="str">
        <f>IF(L24 = 0,"Alteration","Alteração")</f>
        <v>Alteração</v>
      </c>
      <c r="C18" s="7">
        <f t="shared" ref="C18:C25" si="7">IFERROR(_xlfn.NUMBERVALUE(D18), 0) * (IFERROR(_xlfn.NUMBERVALUE(D18), 0) + 1) / 2</f>
        <v>0</v>
      </c>
      <c r="D18" s="7"/>
      <c r="E18" s="7"/>
      <c r="F18" s="31" t="str">
        <f t="shared" ref="F18:F25" si="8">IF(D18 + E18 &lt; 1,"1d2",IF(D18 + E18 = 1, "1d4", IF(D18 + E18 = 2, "1d6", IF(D18 + E18 = 3, "1d8", IF(D18 + E18 = 4, "1d10", IF(D18 + E18 = 5, "2d6", IF(D18 + E18 = 6, "2d8", IF(D18 + E18 = 7, "2d10", IF(D18 + E18 = 8, "3d8", IF(D18 + E18 = 9, "3d10", IF(D18 + E18 = 10, "4d8", IF(D18 + E18 = 11, "6d6",IF(D18 + E18 = 12, "7d6",IF(D18 + E18 = 13, "6d8",IF(D18 + E18 = 14, "12d4",IF(D18 + E18 = 15, "6d10",IF(D18 + E18 = 16, "8d8",IF(D18 + E18 = 17, "7d10", ""))))))))))))))))))</f>
        <v>1d2</v>
      </c>
      <c r="K18" s="104"/>
      <c r="L18" s="105"/>
      <c r="M18" s="105"/>
      <c r="N18" s="82"/>
      <c r="P18" s="47"/>
      <c r="Q18" s="47"/>
      <c r="R18" s="48"/>
    </row>
    <row r="19" spans="1:21" x14ac:dyDescent="0.25">
      <c r="A19" s="13"/>
      <c r="B19" s="32" t="str">
        <f>IF(L24 = 0,"Creation","Criação")</f>
        <v>Criação</v>
      </c>
      <c r="C19" s="6">
        <f t="shared" si="7"/>
        <v>0</v>
      </c>
      <c r="D19" s="6"/>
      <c r="E19" s="6"/>
      <c r="F19" s="33" t="str">
        <f t="shared" si="8"/>
        <v>1d2</v>
      </c>
      <c r="K19" s="181" t="str">
        <f>IF(L24= 0, "Attribute Points", "Pontos de Atributo")</f>
        <v>Pontos de Atributo</v>
      </c>
      <c r="L19" s="182"/>
      <c r="M19" s="182"/>
      <c r="N19" s="179">
        <v>0</v>
      </c>
      <c r="P19" s="47"/>
      <c r="Q19" s="47"/>
      <c r="R19" s="48"/>
    </row>
    <row r="20" spans="1:21" x14ac:dyDescent="0.25">
      <c r="A20" s="13"/>
      <c r="B20" s="30" t="str">
        <f>IF(L24 = 0,"Energy","Energia")</f>
        <v>Energia</v>
      </c>
      <c r="C20" s="7">
        <f t="shared" si="7"/>
        <v>1</v>
      </c>
      <c r="D20" s="7">
        <v>1</v>
      </c>
      <c r="E20" s="7"/>
      <c r="F20" s="31" t="str">
        <f t="shared" si="8"/>
        <v>1d4</v>
      </c>
      <c r="K20" s="183"/>
      <c r="L20" s="184"/>
      <c r="M20" s="184"/>
      <c r="N20" s="180"/>
      <c r="P20" s="47"/>
      <c r="Q20" s="47"/>
      <c r="R20" s="48"/>
    </row>
    <row r="21" spans="1:21" x14ac:dyDescent="0.25">
      <c r="A21" s="13"/>
      <c r="B21" s="32" t="str">
        <f>IF(L24 = 0,"Entropy","Entropia")</f>
        <v>Entropia</v>
      </c>
      <c r="C21" s="6">
        <f t="shared" si="7"/>
        <v>0</v>
      </c>
      <c r="D21" s="6"/>
      <c r="E21" s="6"/>
      <c r="F21" s="33" t="str">
        <f t="shared" si="8"/>
        <v>1d2</v>
      </c>
      <c r="K21" s="77" t="str">
        <f>IF(L24 = 0, "Feat Points", "Pontos de Perícia")</f>
        <v>Pontos de Perícia</v>
      </c>
      <c r="L21" s="78"/>
      <c r="M21" s="78"/>
      <c r="N21" s="187">
        <v>2</v>
      </c>
      <c r="P21" s="47"/>
      <c r="Q21" s="47"/>
      <c r="R21" s="48"/>
    </row>
    <row r="22" spans="1:21" ht="15" customHeight="1" thickBot="1" x14ac:dyDescent="0.3">
      <c r="A22" s="13"/>
      <c r="B22" s="30" t="str">
        <f>IF(L24 = 0,"Influcence","Influência")</f>
        <v>Influência</v>
      </c>
      <c r="C22" s="7">
        <f t="shared" si="7"/>
        <v>0</v>
      </c>
      <c r="D22" s="7"/>
      <c r="E22" s="7"/>
      <c r="F22" s="31" t="str">
        <f t="shared" si="8"/>
        <v>1d2</v>
      </c>
      <c r="K22" s="79"/>
      <c r="L22" s="80"/>
      <c r="M22" s="80"/>
      <c r="N22" s="188"/>
      <c r="P22" s="47"/>
      <c r="Q22" s="47"/>
      <c r="R22" s="48"/>
    </row>
    <row r="23" spans="1:21" ht="15" customHeight="1" thickBot="1" x14ac:dyDescent="0.3">
      <c r="A23" s="13"/>
      <c r="B23" s="32" t="str">
        <f>IF(L24 = 0,"Movement","Movimento")</f>
        <v>Movimento</v>
      </c>
      <c r="C23" s="6">
        <f t="shared" si="7"/>
        <v>0</v>
      </c>
      <c r="D23" s="6"/>
      <c r="E23" s="6"/>
      <c r="F23" s="33" t="str">
        <f t="shared" si="8"/>
        <v>1d2</v>
      </c>
      <c r="P23" s="47"/>
      <c r="Q23" s="47"/>
      <c r="R23" s="48"/>
    </row>
    <row r="24" spans="1:21" ht="15" customHeight="1" x14ac:dyDescent="0.25">
      <c r="A24" s="13"/>
      <c r="B24" s="30" t="str">
        <f>IF(L24 = 0,"Prescience","Preciência")</f>
        <v>Preciência</v>
      </c>
      <c r="C24" s="7">
        <f t="shared" si="7"/>
        <v>3</v>
      </c>
      <c r="D24" s="7">
        <v>2</v>
      </c>
      <c r="E24" s="7"/>
      <c r="F24" s="31" t="str">
        <f t="shared" si="8"/>
        <v>1d6</v>
      </c>
      <c r="K24" s="125" t="str">
        <f>IF(L24 = 0, "Language:", "Língua:")</f>
        <v>Língua:</v>
      </c>
      <c r="L24" s="163">
        <v>1</v>
      </c>
      <c r="M24" s="163"/>
      <c r="N24" s="164"/>
      <c r="P24" s="47"/>
      <c r="Q24" s="47"/>
      <c r="R24" s="48"/>
    </row>
    <row r="25" spans="1:21" ht="15" customHeight="1" thickBot="1" x14ac:dyDescent="0.3">
      <c r="A25" s="13"/>
      <c r="B25" s="34" t="str">
        <f>IF(L24 = 0,"Protection","Proteção")</f>
        <v>Proteção</v>
      </c>
      <c r="C25" s="35">
        <f t="shared" si="7"/>
        <v>0</v>
      </c>
      <c r="D25" s="35"/>
      <c r="E25" s="35"/>
      <c r="F25" s="36" t="str">
        <f t="shared" si="8"/>
        <v>1d2</v>
      </c>
      <c r="K25" s="126"/>
      <c r="L25" s="165"/>
      <c r="M25" s="165"/>
      <c r="N25" s="166"/>
      <c r="P25" s="47"/>
      <c r="Q25" s="47"/>
      <c r="R25" s="71"/>
    </row>
    <row r="26" spans="1:21" ht="16.5" thickTop="1" thickBot="1" x14ac:dyDescent="0.3">
      <c r="K26" s="40">
        <v>0</v>
      </c>
      <c r="L26" s="169" t="str">
        <f>IF(L24 = 0,"English","Inglês")</f>
        <v>Inglês</v>
      </c>
      <c r="M26" s="169"/>
      <c r="N26" s="170"/>
      <c r="P26" s="47"/>
      <c r="Q26" s="47"/>
      <c r="R26" s="48"/>
    </row>
    <row r="27" spans="1:21" ht="15.75" thickBot="1" x14ac:dyDescent="0.3">
      <c r="B27" s="127" t="str">
        <f>IF(L24 = 0, "Defense Calculation", "Cálculo de Defesa")</f>
        <v>Cálculo de Defesa</v>
      </c>
      <c r="C27" s="128"/>
      <c r="D27" s="128"/>
      <c r="E27" s="128"/>
      <c r="F27" s="129"/>
      <c r="K27" s="41">
        <v>1</v>
      </c>
      <c r="L27" s="167" t="str">
        <f>IF(L24 = 0,"Portuguese","Português")</f>
        <v>Português</v>
      </c>
      <c r="M27" s="167"/>
      <c r="N27" s="168"/>
    </row>
    <row r="28" spans="1:21" ht="15.75" thickBot="1" x14ac:dyDescent="0.3">
      <c r="B28" s="130" t="str">
        <f>IF(L24 = 0, "Pre-Defense", "Antes da Defesa")</f>
        <v>Antes da Defesa</v>
      </c>
      <c r="C28" s="131"/>
      <c r="D28" s="138" t="str">
        <f>IF(L24 = 0, "Post-Defense", "Pós-Defesa")</f>
        <v>Pós-Defesa</v>
      </c>
      <c r="E28" s="139"/>
      <c r="F28" s="140"/>
    </row>
    <row r="29" spans="1:21" ht="15.75" thickBot="1" x14ac:dyDescent="0.3">
      <c r="B29" s="132"/>
      <c r="C29" s="133"/>
      <c r="D29" s="133" t="str">
        <f>IF(B29 = "", "", IF(L14+N14 &lt; 0, B29 - (L12+N12), IF(ROUNDDOWN(B29 * 15/(L14+N14+15) - (L12+N12), 0) &gt;= 0, ROUNDDOWN(B29 * 15/(L14+N14+15) - (L12+N12), 0), 0)))</f>
        <v/>
      </c>
      <c r="E29" s="133"/>
      <c r="F29" s="136"/>
      <c r="K29" s="42" t="str">
        <f>IF(L24 = 0, "Size:", "Tamanho:")</f>
        <v>Tamanho:</v>
      </c>
      <c r="L29" s="122">
        <v>5</v>
      </c>
      <c r="M29" s="123"/>
      <c r="N29" s="124"/>
    </row>
    <row r="30" spans="1:21" ht="15.75" customHeight="1" thickBot="1" x14ac:dyDescent="0.3">
      <c r="B30" s="134"/>
      <c r="C30" s="135"/>
      <c r="D30" s="135"/>
      <c r="E30" s="135"/>
      <c r="F30" s="137"/>
    </row>
    <row r="31" spans="1:21" ht="19.5" thickBot="1" x14ac:dyDescent="0.3">
      <c r="P31" s="109" t="s">
        <v>6</v>
      </c>
      <c r="Q31" s="109"/>
      <c r="R31" s="109"/>
      <c r="S31" s="109"/>
      <c r="T31" s="109"/>
      <c r="U31" s="109"/>
    </row>
    <row r="32" spans="1:21" ht="34.5" thickBot="1" x14ac:dyDescent="0.3">
      <c r="B32" s="50" t="s">
        <v>5</v>
      </c>
      <c r="C32" s="159">
        <v>17</v>
      </c>
      <c r="D32" s="159"/>
      <c r="E32" s="49" t="s">
        <v>0</v>
      </c>
      <c r="F32" s="51">
        <f xml:space="preserve"> 8 + 3*(D6+E6) + 2*(D5+E5) + D7+E7 + 2*L4</f>
        <v>29</v>
      </c>
      <c r="H32" s="43" t="str">
        <f>IF(L24 = 0, "Skill / Perk / Feat", "Habilidade / Perícia")</f>
        <v>Habilidade / Perícia</v>
      </c>
      <c r="I32" s="44" t="str">
        <f>IF(L24 = 0, "Description", "Descrição")</f>
        <v>Descrição</v>
      </c>
      <c r="J32" s="44" t="str">
        <f>IF(L24 = 0, "Attribute", "Atributo")</f>
        <v>Atributo</v>
      </c>
      <c r="K32" s="44" t="str">
        <f>IF(L24 = 0, "Cost", "Custo")</f>
        <v>Custo</v>
      </c>
      <c r="P32" s="53" t="str">
        <f>IF(L24=0,"Name","Nome")</f>
        <v>Nome</v>
      </c>
      <c r="Q32" s="53" t="str">
        <f>IF(L24=0, "Bane or Boon?","Bane ou Boon?")</f>
        <v>Bane ou Boon?</v>
      </c>
      <c r="R32" s="53" t="str">
        <f>IF(L24=0,"Effect","Efeito")</f>
        <v>Efeito</v>
      </c>
      <c r="S32" s="53" t="str">
        <f>IF(L24=0,"Defense","Defesa")</f>
        <v>Defesa</v>
      </c>
      <c r="T32" s="58" t="s">
        <v>9</v>
      </c>
      <c r="U32" s="58" t="str">
        <f>IF(L24= 0, "Duration", "Duração")</f>
        <v>Duração</v>
      </c>
    </row>
    <row r="33" spans="2:21" ht="75.75" thickBot="1" x14ac:dyDescent="0.3">
      <c r="H33" s="59" t="s">
        <v>12</v>
      </c>
      <c r="I33" s="57" t="s">
        <v>41</v>
      </c>
      <c r="J33" s="62" t="s">
        <v>13</v>
      </c>
      <c r="K33" s="59" t="s">
        <v>13</v>
      </c>
      <c r="P33" s="47" t="s">
        <v>14</v>
      </c>
      <c r="Q33" s="47" t="s">
        <v>15</v>
      </c>
      <c r="R33" s="59" t="s">
        <v>18</v>
      </c>
      <c r="S33" s="59" t="s">
        <v>19</v>
      </c>
      <c r="T33" s="60" t="s">
        <v>16</v>
      </c>
      <c r="U33" s="59" t="s">
        <v>17</v>
      </c>
    </row>
    <row r="34" spans="2:21" ht="60" x14ac:dyDescent="0.25">
      <c r="B34" s="157" t="str">
        <f>IF(L24 = 0, "HP Dice", "Dado de HP")</f>
        <v>Dado de HP</v>
      </c>
      <c r="C34" s="147"/>
      <c r="D34" s="147" t="str">
        <f>IF(L24 = 0,"Fortitude","Fortitude")</f>
        <v>Fortitude</v>
      </c>
      <c r="E34" s="147"/>
      <c r="F34" s="148"/>
      <c r="H34" s="59" t="s">
        <v>37</v>
      </c>
      <c r="I34" s="65" t="s">
        <v>45</v>
      </c>
      <c r="J34" s="59" t="s">
        <v>13</v>
      </c>
      <c r="K34" s="59" t="s">
        <v>20</v>
      </c>
      <c r="P34" s="59" t="s">
        <v>21</v>
      </c>
      <c r="Q34" s="47" t="s">
        <v>15</v>
      </c>
      <c r="R34" s="57" t="s">
        <v>22</v>
      </c>
      <c r="S34" s="59" t="s">
        <v>46</v>
      </c>
      <c r="T34" s="61" t="s">
        <v>13</v>
      </c>
      <c r="U34" s="59" t="s">
        <v>13</v>
      </c>
    </row>
    <row r="35" spans="2:21" ht="60.75" thickBot="1" x14ac:dyDescent="0.3">
      <c r="B35" s="158"/>
      <c r="C35" s="149"/>
      <c r="D35" s="149"/>
      <c r="E35" s="149"/>
      <c r="F35" s="150"/>
      <c r="H35" s="59" t="s">
        <v>38</v>
      </c>
      <c r="I35" s="57" t="s">
        <v>28</v>
      </c>
      <c r="J35" s="59" t="s">
        <v>13</v>
      </c>
      <c r="K35" s="59" t="s">
        <v>10</v>
      </c>
      <c r="P35" s="59" t="s">
        <v>29</v>
      </c>
      <c r="Q35" s="47" t="s">
        <v>15</v>
      </c>
      <c r="R35" s="57" t="s">
        <v>30</v>
      </c>
      <c r="S35" s="59" t="s">
        <v>13</v>
      </c>
      <c r="T35" s="61" t="s">
        <v>33</v>
      </c>
      <c r="U35" s="59" t="s">
        <v>13</v>
      </c>
    </row>
    <row r="36" spans="2:21" ht="30" x14ac:dyDescent="0.25">
      <c r="B36" s="151" t="str">
        <f>IF(L24 = 0, "MP Dice", "Dado de MP")</f>
        <v>Dado de MP</v>
      </c>
      <c r="C36" s="152"/>
      <c r="D36" s="152" t="str">
        <f>B12</f>
        <v>Vontade</v>
      </c>
      <c r="E36" s="152" t="str">
        <f t="shared" ref="E36:F36" si="9">IF(O51 = 0,"Learning","Aprendizado")</f>
        <v>Learning</v>
      </c>
      <c r="F36" s="155" t="str">
        <f t="shared" si="9"/>
        <v>Learning</v>
      </c>
      <c r="H36" s="59" t="s">
        <v>24</v>
      </c>
      <c r="I36" s="63" t="s">
        <v>23</v>
      </c>
      <c r="J36" s="59" t="s">
        <v>13</v>
      </c>
      <c r="K36" s="59" t="s">
        <v>13</v>
      </c>
      <c r="P36" s="47" t="s">
        <v>34</v>
      </c>
      <c r="Q36" s="47" t="s">
        <v>15</v>
      </c>
      <c r="R36" s="57" t="s">
        <v>36</v>
      </c>
      <c r="S36" s="59"/>
      <c r="T36" s="47" t="s">
        <v>35</v>
      </c>
      <c r="U36" s="59" t="s">
        <v>17</v>
      </c>
    </row>
    <row r="37" spans="2:21" ht="30.75" thickBot="1" x14ac:dyDescent="0.3">
      <c r="B37" s="153"/>
      <c r="C37" s="154"/>
      <c r="D37" s="154" t="str">
        <f t="shared" ref="D37:F37" si="10">IF(N52 = 0,"Learning","Aprendizado")</f>
        <v>Learning</v>
      </c>
      <c r="E37" s="154" t="str">
        <f t="shared" si="10"/>
        <v>Learning</v>
      </c>
      <c r="F37" s="156" t="str">
        <f t="shared" si="10"/>
        <v>Learning</v>
      </c>
      <c r="H37" s="59" t="s">
        <v>11</v>
      </c>
      <c r="I37" s="57" t="s">
        <v>39</v>
      </c>
      <c r="J37" s="59" t="s">
        <v>13</v>
      </c>
      <c r="K37" s="59" t="s">
        <v>13</v>
      </c>
      <c r="P37" s="59"/>
      <c r="Q37" s="47"/>
      <c r="R37" s="57"/>
      <c r="S37" s="59"/>
      <c r="T37" s="47"/>
      <c r="U37" s="59"/>
    </row>
    <row r="38" spans="2:21" ht="135" x14ac:dyDescent="0.25">
      <c r="H38" s="59" t="s">
        <v>25</v>
      </c>
      <c r="I38" s="57" t="s">
        <v>42</v>
      </c>
      <c r="J38" s="59" t="s">
        <v>13</v>
      </c>
      <c r="K38" s="59" t="s">
        <v>13</v>
      </c>
    </row>
    <row r="39" spans="2:21" ht="75" x14ac:dyDescent="0.25">
      <c r="H39" s="59" t="s">
        <v>26</v>
      </c>
      <c r="I39" s="57" t="s">
        <v>43</v>
      </c>
      <c r="J39" s="59" t="s">
        <v>13</v>
      </c>
      <c r="K39" s="59" t="s">
        <v>13</v>
      </c>
    </row>
    <row r="40" spans="2:21" ht="60" x14ac:dyDescent="0.25">
      <c r="H40" s="59" t="s">
        <v>27</v>
      </c>
      <c r="I40" s="57" t="s">
        <v>44</v>
      </c>
      <c r="J40" s="59" t="s">
        <v>13</v>
      </c>
      <c r="K40" s="59" t="s">
        <v>13</v>
      </c>
    </row>
    <row r="41" spans="2:21" x14ac:dyDescent="0.25">
      <c r="H41" s="59"/>
      <c r="I41" s="57"/>
      <c r="J41" s="59"/>
      <c r="K41" s="59"/>
    </row>
    <row r="42" spans="2:21" x14ac:dyDescent="0.25">
      <c r="H42" s="59"/>
      <c r="I42" s="57"/>
      <c r="J42" s="59"/>
      <c r="K42" s="59"/>
    </row>
  </sheetData>
  <mergeCells count="51">
    <mergeCell ref="B2:F2"/>
    <mergeCell ref="L24:N25"/>
    <mergeCell ref="L27:N27"/>
    <mergeCell ref="L26:N26"/>
    <mergeCell ref="N12:N13"/>
    <mergeCell ref="L9:L10"/>
    <mergeCell ref="N14:N15"/>
    <mergeCell ref="M14:M15"/>
    <mergeCell ref="N19:N20"/>
    <mergeCell ref="K19:M20"/>
    <mergeCell ref="K14:K15"/>
    <mergeCell ref="L14:L15"/>
    <mergeCell ref="M12:M13"/>
    <mergeCell ref="N21:N22"/>
    <mergeCell ref="D34:F35"/>
    <mergeCell ref="B36:C37"/>
    <mergeCell ref="D36:F37"/>
    <mergeCell ref="B34:C35"/>
    <mergeCell ref="C32:D32"/>
    <mergeCell ref="T2:V2"/>
    <mergeCell ref="P31:U31"/>
    <mergeCell ref="B17:F17"/>
    <mergeCell ref="B13:F13"/>
    <mergeCell ref="B8:F8"/>
    <mergeCell ref="B4:F4"/>
    <mergeCell ref="L29:N29"/>
    <mergeCell ref="K24:K25"/>
    <mergeCell ref="B27:F27"/>
    <mergeCell ref="B28:C28"/>
    <mergeCell ref="B29:C30"/>
    <mergeCell ref="D29:F30"/>
    <mergeCell ref="D28:F28"/>
    <mergeCell ref="K9:K10"/>
    <mergeCell ref="K12:K13"/>
    <mergeCell ref="L12:L13"/>
    <mergeCell ref="T6:T7"/>
    <mergeCell ref="U6:U7"/>
    <mergeCell ref="K21:M22"/>
    <mergeCell ref="N17:N18"/>
    <mergeCell ref="L2:N3"/>
    <mergeCell ref="L4:N5"/>
    <mergeCell ref="K4:K5"/>
    <mergeCell ref="K7:K8"/>
    <mergeCell ref="P2:R3"/>
    <mergeCell ref="K2:K3"/>
    <mergeCell ref="L7:L8"/>
    <mergeCell ref="M7:M8"/>
    <mergeCell ref="N7:N8"/>
    <mergeCell ref="M9:M10"/>
    <mergeCell ref="N9:N10"/>
    <mergeCell ref="K17:M18"/>
  </mergeCells>
  <pageMargins left="0.7" right="0.7" top="0.75" bottom="0.75" header="0.3" footer="0.3"/>
  <pageSetup paperSize="9" orientation="portrait" r:id="rId1"/>
  <ignoredErrors>
    <ignoredError sqref="T33" twoDigitTextYear="1"/>
  </ignoredErrors>
  <drawing r:id="rId2"/>
  <legacyDrawing r:id="rId3"/>
  <controls>
    <mc:AlternateContent xmlns:mc="http://schemas.openxmlformats.org/markup-compatibility/2006">
      <mc:Choice Requires="x14">
        <control shapeId="1052" r:id="rId4" name="CommandButton1">
          <controlPr defaultSize="0" autoLine="0" r:id="rId5">
            <anchor moveWithCells="1">
              <from>
                <xdr:col>11</xdr:col>
                <xdr:colOff>142875</xdr:colOff>
                <xdr:row>30</xdr:row>
                <xdr:rowOff>95250</xdr:rowOff>
              </from>
              <to>
                <xdr:col>14</xdr:col>
                <xdr:colOff>47625</xdr:colOff>
                <xdr:row>31</xdr:row>
                <xdr:rowOff>285750</xdr:rowOff>
              </to>
            </anchor>
          </controlPr>
        </control>
      </mc:Choice>
      <mc:Fallback>
        <control shapeId="1052" r:id="rId4" name="CommandButton1"/>
      </mc:Fallback>
    </mc:AlternateContent>
    <mc:AlternateContent xmlns:mc="http://schemas.openxmlformats.org/markup-compatibility/2006">
      <mc:Choice Requires="x14">
        <control shapeId="1051" r:id="rId6" name="XPPlus">
          <controlPr defaultSize="0" autoLine="0" r:id="rId7">
            <anchor moveWithCells="1" sizeWithCells="1">
              <from>
                <xdr:col>9</xdr:col>
                <xdr:colOff>333375</xdr:colOff>
                <xdr:row>1</xdr:row>
                <xdr:rowOff>38100</xdr:rowOff>
              </from>
              <to>
                <xdr:col>9</xdr:col>
                <xdr:colOff>695325</xdr:colOff>
                <xdr:row>2</xdr:row>
                <xdr:rowOff>152400</xdr:rowOff>
              </to>
            </anchor>
          </controlPr>
        </control>
      </mc:Choice>
      <mc:Fallback>
        <control shapeId="1051" r:id="rId6" name="XPPlus"/>
      </mc:Fallback>
    </mc:AlternateContent>
    <mc:AlternateContent xmlns:mc="http://schemas.openxmlformats.org/markup-compatibility/2006">
      <mc:Choice Requires="x14">
        <control shapeId="1026" r:id="rId8" name="Button 2">
          <controlPr defaultSize="0" print="0" autoFill="0" autoPict="0" macro="[0]!AgilityIncrease">
            <anchor moveWithCells="1" sizeWithCells="1">
              <from>
                <xdr:col>0</xdr:col>
                <xdr:colOff>419100</xdr:colOff>
                <xdr:row>4</xdr:row>
                <xdr:rowOff>19050</xdr:rowOff>
              </from>
              <to>
                <xdr:col>0</xdr:col>
                <xdr:colOff>590550</xdr:colOff>
                <xdr:row>4</xdr:row>
                <xdr:rowOff>190500</xdr:rowOff>
              </to>
            </anchor>
          </controlPr>
        </control>
      </mc:Choice>
    </mc:AlternateContent>
    <mc:AlternateContent xmlns:mc="http://schemas.openxmlformats.org/markup-compatibility/2006">
      <mc:Choice Requires="x14">
        <control shapeId="1031" r:id="rId9" name="Button 7">
          <controlPr defaultSize="0" print="0" autoFill="0" autoPict="0" macro="[0]!FortitudeIncrease">
            <anchor moveWithCells="1" sizeWithCells="1">
              <from>
                <xdr:col>0</xdr:col>
                <xdr:colOff>419100</xdr:colOff>
                <xdr:row>5</xdr:row>
                <xdr:rowOff>9525</xdr:rowOff>
              </from>
              <to>
                <xdr:col>0</xdr:col>
                <xdr:colOff>590550</xdr:colOff>
                <xdr:row>5</xdr:row>
                <xdr:rowOff>180975</xdr:rowOff>
              </to>
            </anchor>
          </controlPr>
        </control>
      </mc:Choice>
    </mc:AlternateContent>
    <mc:AlternateContent xmlns:mc="http://schemas.openxmlformats.org/markup-compatibility/2006">
      <mc:Choice Requires="x14">
        <control shapeId="1032" r:id="rId10" name="Button 8">
          <controlPr defaultSize="0" print="0" autoFill="0" autoPict="0" macro="[0]!MightIncrease">
            <anchor moveWithCells="1" sizeWithCells="1">
              <from>
                <xdr:col>0</xdr:col>
                <xdr:colOff>419100</xdr:colOff>
                <xdr:row>6</xdr:row>
                <xdr:rowOff>9525</xdr:rowOff>
              </from>
              <to>
                <xdr:col>0</xdr:col>
                <xdr:colOff>590550</xdr:colOff>
                <xdr:row>6</xdr:row>
                <xdr:rowOff>180975</xdr:rowOff>
              </to>
            </anchor>
          </controlPr>
        </control>
      </mc:Choice>
    </mc:AlternateContent>
    <mc:AlternateContent xmlns:mc="http://schemas.openxmlformats.org/markup-compatibility/2006">
      <mc:Choice Requires="x14">
        <control shapeId="1033" r:id="rId11" name="Button 9">
          <controlPr defaultSize="0" print="0" autoFill="0" autoPict="0" macro="[0]!LearnIncrease">
            <anchor moveWithCells="1" sizeWithCells="1">
              <from>
                <xdr:col>0</xdr:col>
                <xdr:colOff>419100</xdr:colOff>
                <xdr:row>8</xdr:row>
                <xdr:rowOff>19050</xdr:rowOff>
              </from>
              <to>
                <xdr:col>0</xdr:col>
                <xdr:colOff>590550</xdr:colOff>
                <xdr:row>8</xdr:row>
                <xdr:rowOff>190500</xdr:rowOff>
              </to>
            </anchor>
          </controlPr>
        </control>
      </mc:Choice>
    </mc:AlternateContent>
    <mc:AlternateContent xmlns:mc="http://schemas.openxmlformats.org/markup-compatibility/2006">
      <mc:Choice Requires="x14">
        <control shapeId="1034" r:id="rId12" name="Button 10">
          <controlPr defaultSize="0" print="0" autoFill="0" autoPict="0" macro="[0]!LogicIncrease">
            <anchor moveWithCells="1" sizeWithCells="1">
              <from>
                <xdr:col>0</xdr:col>
                <xdr:colOff>419100</xdr:colOff>
                <xdr:row>9</xdr:row>
                <xdr:rowOff>9525</xdr:rowOff>
              </from>
              <to>
                <xdr:col>0</xdr:col>
                <xdr:colOff>590550</xdr:colOff>
                <xdr:row>9</xdr:row>
                <xdr:rowOff>180975</xdr:rowOff>
              </to>
            </anchor>
          </controlPr>
        </control>
      </mc:Choice>
    </mc:AlternateContent>
    <mc:AlternateContent xmlns:mc="http://schemas.openxmlformats.org/markup-compatibility/2006">
      <mc:Choice Requires="x14">
        <control shapeId="1035" r:id="rId13" name="Button 11">
          <controlPr defaultSize="0" print="0" autoFill="0" autoPict="0" macro="[0]!PerceptionIncrease">
            <anchor moveWithCells="1" sizeWithCells="1">
              <from>
                <xdr:col>0</xdr:col>
                <xdr:colOff>419100</xdr:colOff>
                <xdr:row>10</xdr:row>
                <xdr:rowOff>9525</xdr:rowOff>
              </from>
              <to>
                <xdr:col>0</xdr:col>
                <xdr:colOff>590550</xdr:colOff>
                <xdr:row>10</xdr:row>
                <xdr:rowOff>180975</xdr:rowOff>
              </to>
            </anchor>
          </controlPr>
        </control>
      </mc:Choice>
    </mc:AlternateContent>
    <mc:AlternateContent xmlns:mc="http://schemas.openxmlformats.org/markup-compatibility/2006">
      <mc:Choice Requires="x14">
        <control shapeId="1036" r:id="rId14" name="Button 12">
          <controlPr defaultSize="0" print="0" autoFill="0" autoPict="0" macro="[0]!WillIncrease">
            <anchor moveWithCells="1" sizeWithCells="1">
              <from>
                <xdr:col>0</xdr:col>
                <xdr:colOff>419100</xdr:colOff>
                <xdr:row>11</xdr:row>
                <xdr:rowOff>9525</xdr:rowOff>
              </from>
              <to>
                <xdr:col>0</xdr:col>
                <xdr:colOff>590550</xdr:colOff>
                <xdr:row>11</xdr:row>
                <xdr:rowOff>180975</xdr:rowOff>
              </to>
            </anchor>
          </controlPr>
        </control>
      </mc:Choice>
    </mc:AlternateContent>
    <mc:AlternateContent xmlns:mc="http://schemas.openxmlformats.org/markup-compatibility/2006">
      <mc:Choice Requires="x14">
        <control shapeId="1039" r:id="rId15" name="Button 15">
          <controlPr defaultSize="0" print="0" autoFill="0" autoPict="0" macro="[0]!DeceptionIncrease">
            <anchor moveWithCells="1" sizeWithCells="1">
              <from>
                <xdr:col>0</xdr:col>
                <xdr:colOff>419100</xdr:colOff>
                <xdr:row>13</xdr:row>
                <xdr:rowOff>9525</xdr:rowOff>
              </from>
              <to>
                <xdr:col>0</xdr:col>
                <xdr:colOff>590550</xdr:colOff>
                <xdr:row>13</xdr:row>
                <xdr:rowOff>180975</xdr:rowOff>
              </to>
            </anchor>
          </controlPr>
        </control>
      </mc:Choice>
    </mc:AlternateContent>
    <mc:AlternateContent xmlns:mc="http://schemas.openxmlformats.org/markup-compatibility/2006">
      <mc:Choice Requires="x14">
        <control shapeId="1040" r:id="rId16" name="Button 16">
          <controlPr defaultSize="0" print="0" autoFill="0" autoPict="0" macro="[0]!PersuationIncrease">
            <anchor moveWithCells="1" sizeWithCells="1">
              <from>
                <xdr:col>0</xdr:col>
                <xdr:colOff>419100</xdr:colOff>
                <xdr:row>14</xdr:row>
                <xdr:rowOff>9525</xdr:rowOff>
              </from>
              <to>
                <xdr:col>0</xdr:col>
                <xdr:colOff>590550</xdr:colOff>
                <xdr:row>14</xdr:row>
                <xdr:rowOff>180975</xdr:rowOff>
              </to>
            </anchor>
          </controlPr>
        </control>
      </mc:Choice>
    </mc:AlternateContent>
    <mc:AlternateContent xmlns:mc="http://schemas.openxmlformats.org/markup-compatibility/2006">
      <mc:Choice Requires="x14">
        <control shapeId="1041" r:id="rId17" name="Button 17">
          <controlPr defaultSize="0" print="0" autoFill="0" autoPict="0" macro="[0]!PresenceIncrease">
            <anchor moveWithCells="1" sizeWithCells="1">
              <from>
                <xdr:col>0</xdr:col>
                <xdr:colOff>419100</xdr:colOff>
                <xdr:row>15</xdr:row>
                <xdr:rowOff>9525</xdr:rowOff>
              </from>
              <to>
                <xdr:col>0</xdr:col>
                <xdr:colOff>590550</xdr:colOff>
                <xdr:row>15</xdr:row>
                <xdr:rowOff>180975</xdr:rowOff>
              </to>
            </anchor>
          </controlPr>
        </control>
      </mc:Choice>
    </mc:AlternateContent>
    <mc:AlternateContent xmlns:mc="http://schemas.openxmlformats.org/markup-compatibility/2006">
      <mc:Choice Requires="x14">
        <control shapeId="1042" r:id="rId18" name="Button 18">
          <controlPr defaultSize="0" print="0" autoFill="0" autoPict="0" macro="[0]!AlterationIncrease">
            <anchor moveWithCells="1" sizeWithCells="1">
              <from>
                <xdr:col>0</xdr:col>
                <xdr:colOff>419100</xdr:colOff>
                <xdr:row>17</xdr:row>
                <xdr:rowOff>9525</xdr:rowOff>
              </from>
              <to>
                <xdr:col>0</xdr:col>
                <xdr:colOff>590550</xdr:colOff>
                <xdr:row>17</xdr:row>
                <xdr:rowOff>180975</xdr:rowOff>
              </to>
            </anchor>
          </controlPr>
        </control>
      </mc:Choice>
    </mc:AlternateContent>
    <mc:AlternateContent xmlns:mc="http://schemas.openxmlformats.org/markup-compatibility/2006">
      <mc:Choice Requires="x14">
        <control shapeId="1043" r:id="rId19" name="Button 19">
          <controlPr defaultSize="0" print="0" autoFill="0" autoPict="0" macro="[0]!CreationIncrease">
            <anchor moveWithCells="1" sizeWithCells="1">
              <from>
                <xdr:col>0</xdr:col>
                <xdr:colOff>419100</xdr:colOff>
                <xdr:row>18</xdr:row>
                <xdr:rowOff>9525</xdr:rowOff>
              </from>
              <to>
                <xdr:col>0</xdr:col>
                <xdr:colOff>590550</xdr:colOff>
                <xdr:row>18</xdr:row>
                <xdr:rowOff>180975</xdr:rowOff>
              </to>
            </anchor>
          </controlPr>
        </control>
      </mc:Choice>
    </mc:AlternateContent>
    <mc:AlternateContent xmlns:mc="http://schemas.openxmlformats.org/markup-compatibility/2006">
      <mc:Choice Requires="x14">
        <control shapeId="1044" r:id="rId20" name="Button 20">
          <controlPr defaultSize="0" print="0" autoFill="0" autoPict="0" macro="[0]!EnergyIncrease">
            <anchor moveWithCells="1" sizeWithCells="1">
              <from>
                <xdr:col>0</xdr:col>
                <xdr:colOff>419100</xdr:colOff>
                <xdr:row>19</xdr:row>
                <xdr:rowOff>9525</xdr:rowOff>
              </from>
              <to>
                <xdr:col>0</xdr:col>
                <xdr:colOff>590550</xdr:colOff>
                <xdr:row>19</xdr:row>
                <xdr:rowOff>180975</xdr:rowOff>
              </to>
            </anchor>
          </controlPr>
        </control>
      </mc:Choice>
    </mc:AlternateContent>
    <mc:AlternateContent xmlns:mc="http://schemas.openxmlformats.org/markup-compatibility/2006">
      <mc:Choice Requires="x14">
        <control shapeId="1045" r:id="rId21" name="Button 21">
          <controlPr defaultSize="0" print="0" autoFill="0" autoPict="0" macro="[0]!EntropyIncrease">
            <anchor moveWithCells="1" sizeWithCells="1">
              <from>
                <xdr:col>0</xdr:col>
                <xdr:colOff>419100</xdr:colOff>
                <xdr:row>20</xdr:row>
                <xdr:rowOff>9525</xdr:rowOff>
              </from>
              <to>
                <xdr:col>0</xdr:col>
                <xdr:colOff>590550</xdr:colOff>
                <xdr:row>20</xdr:row>
                <xdr:rowOff>180975</xdr:rowOff>
              </to>
            </anchor>
          </controlPr>
        </control>
      </mc:Choice>
    </mc:AlternateContent>
    <mc:AlternateContent xmlns:mc="http://schemas.openxmlformats.org/markup-compatibility/2006">
      <mc:Choice Requires="x14">
        <control shapeId="1046" r:id="rId22" name="Button 22">
          <controlPr defaultSize="0" print="0" autoFill="0" autoPict="0" macro="[0]!InfluenceIncrease">
            <anchor moveWithCells="1" sizeWithCells="1">
              <from>
                <xdr:col>0</xdr:col>
                <xdr:colOff>419100</xdr:colOff>
                <xdr:row>21</xdr:row>
                <xdr:rowOff>9525</xdr:rowOff>
              </from>
              <to>
                <xdr:col>0</xdr:col>
                <xdr:colOff>590550</xdr:colOff>
                <xdr:row>21</xdr:row>
                <xdr:rowOff>180975</xdr:rowOff>
              </to>
            </anchor>
          </controlPr>
        </control>
      </mc:Choice>
    </mc:AlternateContent>
    <mc:AlternateContent xmlns:mc="http://schemas.openxmlformats.org/markup-compatibility/2006">
      <mc:Choice Requires="x14">
        <control shapeId="1047" r:id="rId23" name="Button 23">
          <controlPr defaultSize="0" print="0" autoFill="0" autoPict="0" macro="[0]!MovementIncrease">
            <anchor moveWithCells="1" sizeWithCells="1">
              <from>
                <xdr:col>0</xdr:col>
                <xdr:colOff>419100</xdr:colOff>
                <xdr:row>22</xdr:row>
                <xdr:rowOff>9525</xdr:rowOff>
              </from>
              <to>
                <xdr:col>0</xdr:col>
                <xdr:colOff>590550</xdr:colOff>
                <xdr:row>22</xdr:row>
                <xdr:rowOff>180975</xdr:rowOff>
              </to>
            </anchor>
          </controlPr>
        </control>
      </mc:Choice>
    </mc:AlternateContent>
    <mc:AlternateContent xmlns:mc="http://schemas.openxmlformats.org/markup-compatibility/2006">
      <mc:Choice Requires="x14">
        <control shapeId="1048" r:id="rId24" name="Button 24">
          <controlPr defaultSize="0" print="0" autoFill="0" autoPict="0" macro="[0]!PrescienceIncrease">
            <anchor moveWithCells="1" sizeWithCells="1">
              <from>
                <xdr:col>0</xdr:col>
                <xdr:colOff>419100</xdr:colOff>
                <xdr:row>23</xdr:row>
                <xdr:rowOff>9525</xdr:rowOff>
              </from>
              <to>
                <xdr:col>0</xdr:col>
                <xdr:colOff>590550</xdr:colOff>
                <xdr:row>23</xdr:row>
                <xdr:rowOff>180975</xdr:rowOff>
              </to>
            </anchor>
          </controlPr>
        </control>
      </mc:Choice>
    </mc:AlternateContent>
    <mc:AlternateContent xmlns:mc="http://schemas.openxmlformats.org/markup-compatibility/2006">
      <mc:Choice Requires="x14">
        <control shapeId="1049" r:id="rId25" name="Button 25">
          <controlPr defaultSize="0" print="0" autoFill="0" autoPict="0" macro="[0]!ProtectionIncrease">
            <anchor moveWithCells="1" sizeWithCells="1">
              <from>
                <xdr:col>0</xdr:col>
                <xdr:colOff>419100</xdr:colOff>
                <xdr:row>24</xdr:row>
                <xdr:rowOff>9525</xdr:rowOff>
              </from>
              <to>
                <xdr:col>0</xdr:col>
                <xdr:colOff>590550</xdr:colOff>
                <xdr:row>24</xdr:row>
                <xdr:rowOff>180975</xdr:rowOff>
              </to>
            </anchor>
          </controlPr>
        </control>
      </mc:Choice>
    </mc:AlternateContent>
  </controls>
  <tableParts count="4">
    <tablePart r:id="rId26"/>
    <tablePart r:id="rId27"/>
    <tablePart r:id="rId28"/>
    <tablePart r:id="rId2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Ragan</dc:creator>
  <cp:lastModifiedBy>Ragan</cp:lastModifiedBy>
  <dcterms:created xsi:type="dcterms:W3CDTF">2018-01-26T14:39:37Z</dcterms:created>
  <dcterms:modified xsi:type="dcterms:W3CDTF">2019-04-07T02:19:27Z</dcterms:modified>
</cp:coreProperties>
</file>