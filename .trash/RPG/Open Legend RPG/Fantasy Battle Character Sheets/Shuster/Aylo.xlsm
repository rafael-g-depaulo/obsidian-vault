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agan\Documents\stupid ideas\Fantasy Battle Character Sheets\Shuster\"/>
    </mc:Choice>
  </mc:AlternateContent>
  <bookViews>
    <workbookView xWindow="0" yWindow="0" windowWidth="28800" windowHeight="12555"/>
  </bookViews>
  <sheets>
    <sheet name="Sheet1"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4" i="1" l="1"/>
  <c r="L14" i="1"/>
  <c r="L12" i="1" l="1"/>
  <c r="J36" i="1" l="1"/>
  <c r="J35" i="1"/>
  <c r="J34" i="1"/>
  <c r="J33" i="1"/>
  <c r="B17" i="1"/>
  <c r="M12" i="1" l="1"/>
  <c r="M14" i="1"/>
  <c r="D29" i="1" l="1"/>
  <c r="N9" i="1" l="1"/>
  <c r="N7" i="1"/>
  <c r="F25" i="1"/>
  <c r="F23" i="1"/>
  <c r="F22" i="1"/>
  <c r="F21" i="1"/>
  <c r="F20" i="1"/>
  <c r="F19" i="1"/>
  <c r="F18" i="1"/>
  <c r="F16" i="1"/>
  <c r="F15" i="1"/>
  <c r="F14" i="1"/>
  <c r="F12" i="1"/>
  <c r="F11" i="1"/>
  <c r="F10" i="1"/>
  <c r="F9" i="1"/>
  <c r="F7" i="1"/>
  <c r="F6" i="1"/>
  <c r="F5" i="1"/>
  <c r="C5" i="1"/>
  <c r="C3" i="1"/>
  <c r="C11" i="1"/>
  <c r="D3" i="1"/>
  <c r="C25" i="1"/>
  <c r="C24" i="1"/>
  <c r="C23" i="1"/>
  <c r="C22" i="1"/>
  <c r="C21" i="1"/>
  <c r="C20" i="1"/>
  <c r="C19" i="1"/>
  <c r="C18" i="1"/>
  <c r="C16" i="1"/>
  <c r="C15" i="1"/>
  <c r="C14" i="1"/>
  <c r="C12" i="1"/>
  <c r="C10" i="1"/>
  <c r="C9" i="1"/>
  <c r="C7" i="1"/>
  <c r="C6" i="1"/>
  <c r="E3" i="1"/>
  <c r="B24" i="1" l="1"/>
  <c r="B23" i="1"/>
  <c r="B18" i="1"/>
  <c r="B20" i="1"/>
  <c r="J32" i="1"/>
  <c r="Q4" i="1" l="1"/>
  <c r="R4" i="1"/>
  <c r="P2" i="1"/>
  <c r="I32" i="1"/>
  <c r="K32" i="1"/>
  <c r="H32" i="1" l="1"/>
  <c r="K29" i="1"/>
  <c r="H2" i="1"/>
  <c r="B5" i="1"/>
  <c r="K21" i="1" l="1"/>
  <c r="K19" i="1"/>
  <c r="K17" i="1"/>
  <c r="D28" i="1"/>
  <c r="B28" i="1"/>
  <c r="B27" i="1"/>
  <c r="K12" i="1"/>
  <c r="K14" i="1"/>
  <c r="K24" i="1"/>
  <c r="F3" i="1"/>
  <c r="B3" i="1"/>
  <c r="L27" i="1"/>
  <c r="L26" i="1"/>
  <c r="B9" i="1"/>
  <c r="B25" i="1"/>
  <c r="B22" i="1"/>
  <c r="B21" i="1"/>
  <c r="B19" i="1"/>
  <c r="B16" i="1"/>
  <c r="B15" i="1"/>
  <c r="B14" i="1"/>
  <c r="B13" i="1"/>
  <c r="B12" i="1"/>
  <c r="B11" i="1"/>
  <c r="B10" i="1"/>
  <c r="B8" i="1"/>
  <c r="B7" i="1"/>
  <c r="B6" i="1"/>
  <c r="B4" i="1"/>
  <c r="B2" i="1"/>
</calcChain>
</file>

<file path=xl/sharedStrings.xml><?xml version="1.0" encoding="utf-8"?>
<sst xmlns="http://schemas.openxmlformats.org/spreadsheetml/2006/main" count="35" uniqueCount="30">
  <si>
    <t>/</t>
  </si>
  <si>
    <t>LEVEL</t>
  </si>
  <si>
    <t>XP</t>
  </si>
  <si>
    <t>HP:</t>
  </si>
  <si>
    <t>MANA:</t>
  </si>
  <si>
    <t>Qnt</t>
  </si>
  <si>
    <t xml:space="preserve"> </t>
  </si>
  <si>
    <t>Dash</t>
  </si>
  <si>
    <t>Signal Beam</t>
  </si>
  <si>
    <t>+1 Agility in damage calculation when performing a surprise attack. Disadvantage-1 during damage calculation otherwise. Uses Agility.</t>
  </si>
  <si>
    <t>Barrier</t>
  </si>
  <si>
    <t>Battlefield Opportunist</t>
  </si>
  <si>
    <t>Aylo Gwyn'Bleidd</t>
  </si>
  <si>
    <t>Throwing Knife</t>
  </si>
  <si>
    <t>Uses Agility.</t>
  </si>
  <si>
    <t>Short Sword</t>
  </si>
  <si>
    <t>-</t>
  </si>
  <si>
    <t>3 Mana</t>
  </si>
  <si>
    <t>Agility</t>
  </si>
  <si>
    <t>Poison Blade</t>
  </si>
  <si>
    <t>A quick dash to a nearby location. Major Action.</t>
  </si>
  <si>
    <t>4 Mana</t>
  </si>
  <si>
    <t>Dagger</t>
  </si>
  <si>
    <t>Aylo choses one of his blades, and infects it with a toxic aura. The next enemy hit with that blade withing 10 minutes becomes poisoned, takes residual damage from the poison for 4 turns and is stunned for 1 turn if they fail the resistance roll. Minor Action.</t>
  </si>
  <si>
    <t>Throws out a magical projectile that snares itself on the first enemy hit. For the next 20 minutes (or 6 turns, if in battle), Aylo can feel the target's position, if they are withing 200m(if outside battle. If in battle, 40m). Whenever Aylo attacks na enemy infected with Signal Beam, the mark left by Signal Beam reacts to Aylo's presence, damaging the host. Major Action.</t>
  </si>
  <si>
    <t>Physical Energy</t>
  </si>
  <si>
    <t>Whenever an opponent within attacking range becomes affected with a Bane (Slows, Stuns, etc.), Flees from battle or redirects their attention to another character after engagin in combat with Aylo, Aylo can attack them instantly. Immediate.</t>
  </si>
  <si>
    <t>Mana is always 0. Can use Stamina instead of Mana for spells. Passive.</t>
  </si>
  <si>
    <t>8 Mana</t>
  </si>
  <si>
    <t>Aylo creates a barrier around himself, shielding him from a portion of the damage he would have taken, but taking a toll on his Stamina instead. Barrier remains active until Aylo realeases it himself, becomes too tired to keep it up or fails the concentration roll to keep Barrier active each turn. When Aylo is about to suffer damage, if he passes a perception roll or the attacker is affected by Signal Beam, he may chose to activate Barrier, but the Stamina cost is increased by 50%. While Barrier is active, Aylo can't attack or use other skills. Complete 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</si>
</sst>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sz val="11"/>
      <color theme="1"/>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sz val="11"/>
      <color theme="0"/>
      <name val="Calibri"/>
      <family val="2"/>
      <scheme val="minor"/>
    </font>
    <font>
      <sz val="20"/>
      <color theme="1"/>
      <name val="Calibri"/>
      <family val="2"/>
      <scheme val="minor"/>
    </font>
    <font>
      <sz val="12"/>
      <color theme="1"/>
      <name val="Calibri"/>
      <family val="2"/>
      <scheme val="minor"/>
    </font>
    <font>
      <sz val="16"/>
      <color theme="1"/>
      <name val="Calibri"/>
      <family val="2"/>
      <scheme val="minor"/>
    </font>
    <font>
      <sz val="18"/>
      <color rgb="FF9C0006"/>
      <name val="Calibri"/>
      <family val="2"/>
      <scheme val="minor"/>
    </font>
    <font>
      <sz val="18"/>
      <color rgb="FF1741F1"/>
      <name val="Calibri"/>
      <family val="2"/>
      <scheme val="minor"/>
    </font>
    <font>
      <sz val="22"/>
      <color rgb="FF9C6500"/>
      <name val="Calibri"/>
      <family val="2"/>
      <scheme val="minor"/>
    </font>
    <font>
      <sz val="14"/>
      <color rgb="FF883406"/>
      <name val="Calibri"/>
      <family val="2"/>
      <scheme val="minor"/>
    </font>
    <font>
      <sz val="14"/>
      <color rgb="FF7E691C"/>
      <name val="Calibri"/>
      <family val="2"/>
      <scheme val="minor"/>
    </font>
    <font>
      <sz val="12"/>
      <color rgb="FF094718"/>
      <name val="Calibri"/>
      <family val="2"/>
      <scheme val="minor"/>
    </font>
    <font>
      <sz val="16"/>
      <color rgb="FF094718"/>
      <name val="Calibri"/>
      <family val="2"/>
      <scheme val="minor"/>
    </font>
    <font>
      <sz val="12"/>
      <color rgb="FF744006"/>
      <name val="Calibri"/>
      <family val="2"/>
      <scheme val="minor"/>
    </font>
    <font>
      <sz val="16"/>
      <color rgb="FF744006"/>
      <name val="Calibri"/>
      <family val="2"/>
      <scheme val="minor"/>
    </font>
    <font>
      <sz val="12"/>
      <color rgb="FF082F86"/>
      <name val="Calibri"/>
      <family val="2"/>
      <scheme val="minor"/>
    </font>
    <font>
      <sz val="16"/>
      <color rgb="FF082F86"/>
      <name val="Calibri"/>
      <family val="2"/>
      <scheme val="minor"/>
    </font>
    <font>
      <sz val="16"/>
      <color rgb="FF883406"/>
      <name val="Calibri"/>
      <family val="2"/>
      <scheme val="minor"/>
    </font>
    <font>
      <sz val="16"/>
      <color rgb="FF7E691C"/>
      <name val="Calibri"/>
      <family val="2"/>
      <scheme val="minor"/>
    </font>
    <font>
      <sz val="14"/>
      <color rgb="FF000000"/>
      <name val="Calibri"/>
      <family val="2"/>
    </font>
    <font>
      <sz val="12"/>
      <color theme="0"/>
      <name val="Calibri"/>
      <family val="2"/>
      <scheme val="minor"/>
    </font>
  </fonts>
  <fills count="31">
    <fill>
      <patternFill patternType="none"/>
    </fill>
    <fill>
      <patternFill patternType="gray125"/>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rgb="FF9FC4FB"/>
        <bgColor indexed="64"/>
      </patternFill>
    </fill>
    <fill>
      <patternFill patternType="solid">
        <fgColor rgb="FFF9CB6F"/>
        <bgColor indexed="64"/>
      </patternFill>
    </fill>
    <fill>
      <patternFill patternType="solid">
        <fgColor rgb="FFFE7550"/>
        <bgColor indexed="64"/>
      </patternFill>
    </fill>
    <fill>
      <patternFill patternType="solid">
        <fgColor rgb="FFFED562"/>
        <bgColor indexed="64"/>
      </patternFill>
    </fill>
    <fill>
      <patternFill patternType="solid">
        <fgColor rgb="FF55C9FD"/>
        <bgColor indexed="64"/>
      </patternFill>
    </fill>
    <fill>
      <patternFill patternType="solid">
        <fgColor rgb="FF23E509"/>
        <bgColor indexed="64"/>
      </patternFill>
    </fill>
    <fill>
      <patternFill patternType="solid">
        <fgColor theme="1" tint="0.14999847407452621"/>
        <bgColor indexed="64"/>
      </patternFill>
    </fill>
    <fill>
      <patternFill patternType="solid">
        <fgColor theme="9" tint="0.39997558519241921"/>
        <bgColor indexed="65"/>
      </patternFill>
    </fill>
  </fills>
  <borders count="48">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thin">
        <color indexed="64"/>
      </bottom>
      <diagonal/>
    </border>
    <border>
      <left style="medium">
        <color indexed="64"/>
      </left>
      <right style="thin">
        <color indexed="64"/>
      </right>
      <top style="medium">
        <color indexed="64"/>
      </top>
      <bottom style="thin">
        <color rgb="FFB2B2B2"/>
      </bottom>
      <diagonal/>
    </border>
    <border>
      <left style="medium">
        <color indexed="64"/>
      </left>
      <right style="thin">
        <color indexed="64"/>
      </right>
      <top style="thin">
        <color rgb="FFB2B2B2"/>
      </top>
      <bottom style="medium">
        <color indexed="64"/>
      </bottom>
      <diagonal/>
    </border>
    <border>
      <left style="medium">
        <color indexed="64"/>
      </left>
      <right style="thin">
        <color rgb="FF7F7F7F"/>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rgb="FF7F7F7F"/>
      </bottom>
      <diagonal/>
    </border>
    <border>
      <left/>
      <right style="medium">
        <color indexed="64"/>
      </right>
      <top/>
      <bottom style="thin">
        <color rgb="FF7F7F7F"/>
      </bottom>
      <diagonal/>
    </border>
    <border>
      <left/>
      <right/>
      <top style="thin">
        <color rgb="FF7F7F7F"/>
      </top>
      <bottom/>
      <diagonal/>
    </border>
    <border>
      <left/>
      <right style="medium">
        <color indexed="64"/>
      </right>
      <top style="thin">
        <color rgb="FF7F7F7F"/>
      </top>
      <bottom/>
      <diagonal/>
    </border>
    <border>
      <left style="medium">
        <color indexed="64"/>
      </left>
      <right/>
      <top/>
      <bottom style="thin">
        <color indexed="64"/>
      </bottom>
      <diagonal/>
    </border>
    <border>
      <left/>
      <right style="medium">
        <color indexed="64"/>
      </right>
      <top/>
      <bottom style="thin">
        <color indexed="64"/>
      </bottom>
      <diagonal/>
    </border>
    <border>
      <left style="thin">
        <color rgb="FF7F7F7F"/>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thin">
        <color rgb="FF7F7F7F"/>
      </top>
      <bottom/>
      <diagonal/>
    </border>
    <border>
      <left style="medium">
        <color indexed="64"/>
      </left>
      <right/>
      <top/>
      <bottom style="thin">
        <color rgb="FF7F7F7F"/>
      </bottom>
      <diagonal/>
    </border>
    <border>
      <left/>
      <right/>
      <top style="thin">
        <color indexed="64"/>
      </top>
      <bottom style="thin">
        <color indexed="64"/>
      </bottom>
      <diagonal/>
    </border>
  </borders>
  <cellStyleXfs count="23">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 fillId="5" borderId="2" applyNumberFormat="0" applyFont="0" applyAlignment="0" applyProtection="0"/>
    <xf numFmtId="0" fontId="5"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5"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5" fillId="17" borderId="0" applyNumberFormat="0" applyBorder="0" applyAlignment="0" applyProtection="0"/>
    <xf numFmtId="0" fontId="1"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5" fillId="30" borderId="0" applyNumberFormat="0" applyBorder="0" applyAlignment="0" applyProtection="0"/>
  </cellStyleXfs>
  <cellXfs count="148">
    <xf numFmtId="0" fontId="0" fillId="0" borderId="0" xfId="0"/>
    <xf numFmtId="0" fontId="0" fillId="0" borderId="0" xfId="0" applyAlignment="1">
      <alignment horizontal="center"/>
    </xf>
    <xf numFmtId="0" fontId="0" fillId="0" borderId="0" xfId="0" applyBorder="1" applyAlignment="1">
      <alignment vertical="center"/>
    </xf>
    <xf numFmtId="0" fontId="1" fillId="11" borderId="0" xfId="10" applyBorder="1" applyAlignment="1">
      <alignment horizontal="center"/>
    </xf>
    <xf numFmtId="0" fontId="1" fillId="10" borderId="0" xfId="9" applyBorder="1" applyAlignment="1">
      <alignment horizontal="center"/>
    </xf>
    <xf numFmtId="0" fontId="1" fillId="11" borderId="9" xfId="10" applyBorder="1" applyAlignment="1">
      <alignment horizontal="center"/>
    </xf>
    <xf numFmtId="0" fontId="1" fillId="15" borderId="0" xfId="14" applyBorder="1" applyAlignment="1">
      <alignment horizontal="center"/>
    </xf>
    <xf numFmtId="0" fontId="1" fillId="16" borderId="0" xfId="15" applyBorder="1" applyAlignment="1">
      <alignment horizontal="center"/>
    </xf>
    <xf numFmtId="0" fontId="1" fillId="8" borderId="0" xfId="7" applyBorder="1" applyAlignment="1">
      <alignment horizontal="center"/>
    </xf>
    <xf numFmtId="0" fontId="1" fillId="7" borderId="0" xfId="6" applyBorder="1" applyAlignment="1">
      <alignment horizontal="center"/>
    </xf>
    <xf numFmtId="0" fontId="1" fillId="22" borderId="0" xfId="21" applyBorder="1" applyAlignment="1">
      <alignment horizontal="center"/>
    </xf>
    <xf numFmtId="0" fontId="1" fillId="22" borderId="9" xfId="21" applyBorder="1" applyAlignment="1">
      <alignment horizontal="center"/>
    </xf>
    <xf numFmtId="0" fontId="1" fillId="21" borderId="0" xfId="20" applyBorder="1" applyAlignment="1">
      <alignment horizontal="center"/>
    </xf>
    <xf numFmtId="0" fontId="0" fillId="0" borderId="18" xfId="0" applyBorder="1"/>
    <xf numFmtId="0" fontId="1" fillId="11" borderId="22" xfId="10" applyBorder="1"/>
    <xf numFmtId="0" fontId="1" fillId="11" borderId="18" xfId="10" applyBorder="1" applyAlignment="1">
      <alignment horizontal="center"/>
    </xf>
    <xf numFmtId="0" fontId="1" fillId="10" borderId="22" xfId="9" applyBorder="1"/>
    <xf numFmtId="0" fontId="1" fillId="10" borderId="18" xfId="9" applyBorder="1" applyAlignment="1">
      <alignment horizontal="center"/>
    </xf>
    <xf numFmtId="0" fontId="1" fillId="11" borderId="25" xfId="10" applyBorder="1"/>
    <xf numFmtId="0" fontId="1" fillId="11" borderId="26" xfId="10" applyBorder="1" applyAlignment="1">
      <alignment horizontal="center"/>
    </xf>
    <xf numFmtId="0" fontId="1" fillId="8" borderId="22" xfId="7" applyBorder="1"/>
    <xf numFmtId="0" fontId="1" fillId="8" borderId="18" xfId="7" applyBorder="1" applyAlignment="1">
      <alignment horizontal="center"/>
    </xf>
    <xf numFmtId="0" fontId="1" fillId="7" borderId="22" xfId="6" applyBorder="1"/>
    <xf numFmtId="0" fontId="1" fillId="7" borderId="18" xfId="6" applyBorder="1" applyAlignment="1">
      <alignment horizontal="center"/>
    </xf>
    <xf numFmtId="0" fontId="1" fillId="22" borderId="22" xfId="21" applyBorder="1"/>
    <xf numFmtId="0" fontId="1" fillId="22" borderId="18" xfId="21" applyBorder="1" applyAlignment="1">
      <alignment horizontal="center"/>
    </xf>
    <xf numFmtId="0" fontId="1" fillId="21" borderId="22" xfId="20" applyBorder="1"/>
    <xf numFmtId="0" fontId="1" fillId="21" borderId="18" xfId="20" applyBorder="1" applyAlignment="1">
      <alignment horizontal="center"/>
    </xf>
    <xf numFmtId="0" fontId="1" fillId="22" borderId="25" xfId="21" applyBorder="1"/>
    <xf numFmtId="0" fontId="1" fillId="22" borderId="26" xfId="21" applyBorder="1" applyAlignment="1">
      <alignment horizontal="center"/>
    </xf>
    <xf numFmtId="0" fontId="1" fillId="16" borderId="22" xfId="15" applyBorder="1"/>
    <xf numFmtId="0" fontId="1" fillId="16" borderId="18" xfId="15" applyBorder="1" applyAlignment="1">
      <alignment horizontal="center"/>
    </xf>
    <xf numFmtId="0" fontId="1" fillId="15" borderId="22" xfId="14" applyBorder="1"/>
    <xf numFmtId="0" fontId="1" fillId="15" borderId="18" xfId="14" applyBorder="1" applyAlignment="1">
      <alignment horizontal="center"/>
    </xf>
    <xf numFmtId="0" fontId="1" fillId="15" borderId="27" xfId="14" applyBorder="1"/>
    <xf numFmtId="0" fontId="1" fillId="15" borderId="28" xfId="14" applyBorder="1" applyAlignment="1">
      <alignment horizontal="center"/>
    </xf>
    <xf numFmtId="0" fontId="1" fillId="15" borderId="29" xfId="14" applyBorder="1" applyAlignment="1">
      <alignment horizontal="center"/>
    </xf>
    <xf numFmtId="0" fontId="5" fillId="13" borderId="22" xfId="12" applyBorder="1" applyAlignment="1">
      <alignment horizontal="center"/>
    </xf>
    <xf numFmtId="0" fontId="5" fillId="13" borderId="15" xfId="12" applyBorder="1" applyAlignment="1">
      <alignment horizontal="center"/>
    </xf>
    <xf numFmtId="0" fontId="5" fillId="13" borderId="18" xfId="12" applyBorder="1" applyAlignment="1">
      <alignment horizontal="center"/>
    </xf>
    <xf numFmtId="0" fontId="5" fillId="12" borderId="11" xfId="11" applyBorder="1"/>
    <xf numFmtId="0" fontId="0" fillId="5" borderId="31" xfId="4" applyFont="1" applyBorder="1" applyAlignment="1">
      <alignment horizontal="center"/>
    </xf>
    <xf numFmtId="0" fontId="0" fillId="5" borderId="32" xfId="4" applyFont="1" applyBorder="1" applyAlignment="1">
      <alignment horizontal="center"/>
    </xf>
    <xf numFmtId="0" fontId="4" fillId="4" borderId="33" xfId="3" applyBorder="1" applyAlignment="1">
      <alignment horizontal="center"/>
    </xf>
    <xf numFmtId="0" fontId="23" fillId="29" borderId="0" xfId="0" applyFont="1" applyFill="1" applyAlignment="1">
      <alignment horizontal="center" vertical="center" wrapText="1"/>
    </xf>
    <xf numFmtId="0" fontId="23" fillId="29" borderId="0" xfId="0" applyFont="1" applyFill="1" applyAlignment="1">
      <alignment horizontal="center" vertical="center"/>
    </xf>
    <xf numFmtId="0" fontId="5" fillId="12" borderId="44" xfId="11" applyBorder="1"/>
    <xf numFmtId="0" fontId="0" fillId="0" borderId="0" xfId="0" applyBorder="1"/>
    <xf numFmtId="0" fontId="5" fillId="30" borderId="0" xfId="22" applyAlignment="1">
      <alignment horizontal="center" vertical="center"/>
    </xf>
    <xf numFmtId="0" fontId="0" fillId="0" borderId="0" xfId="0" applyAlignment="1">
      <alignment horizontal="center" vertical="center" wrapText="1"/>
    </xf>
    <xf numFmtId="0" fontId="0" fillId="0" borderId="0" xfId="0" applyAlignment="1">
      <alignment horizontal="left" wrapText="1"/>
    </xf>
    <xf numFmtId="0" fontId="0" fillId="0" borderId="0" xfId="0" applyAlignment="1">
      <alignment horizontal="left" vertical="center" wrapText="1"/>
    </xf>
    <xf numFmtId="0" fontId="0" fillId="0" borderId="0" xfId="0" applyAlignment="1">
      <alignment horizontal="center" vertical="center"/>
    </xf>
    <xf numFmtId="0" fontId="0" fillId="0" borderId="0" xfId="0" applyAlignment="1">
      <alignment horizontal="left"/>
    </xf>
    <xf numFmtId="0" fontId="0" fillId="0" borderId="0" xfId="0" quotePrefix="1" applyAlignment="1">
      <alignment horizontal="left"/>
    </xf>
    <xf numFmtId="0" fontId="0" fillId="0" borderId="0" xfId="0" applyNumberFormat="1" applyAlignment="1">
      <alignment horizontal="center" vertical="center" wrapText="1"/>
    </xf>
    <xf numFmtId="0" fontId="21" fillId="24" borderId="39" xfId="3" applyFont="1" applyFill="1" applyBorder="1" applyAlignment="1">
      <alignment horizontal="center" vertical="center"/>
    </xf>
    <xf numFmtId="0" fontId="21" fillId="24" borderId="10" xfId="3" applyFont="1" applyFill="1" applyBorder="1" applyAlignment="1">
      <alignment horizontal="center" vertical="center"/>
    </xf>
    <xf numFmtId="0" fontId="21" fillId="24" borderId="38" xfId="3" applyFont="1" applyFill="1" applyBorder="1" applyAlignment="1">
      <alignment horizontal="center" vertical="center"/>
    </xf>
    <xf numFmtId="0" fontId="21" fillId="24" borderId="9" xfId="3" applyFont="1" applyFill="1" applyBorder="1" applyAlignment="1">
      <alignment horizontal="center" vertical="center"/>
    </xf>
    <xf numFmtId="0" fontId="9" fillId="2" borderId="3" xfId="1" applyFont="1" applyBorder="1" applyAlignment="1">
      <alignment horizontal="center" vertical="center"/>
    </xf>
    <xf numFmtId="0" fontId="9" fillId="2" borderId="8" xfId="1" applyFont="1" applyBorder="1" applyAlignment="1">
      <alignment horizontal="center" vertical="center"/>
    </xf>
    <xf numFmtId="0" fontId="14" fillId="28" borderId="3" xfId="0" applyFont="1" applyFill="1" applyBorder="1" applyAlignment="1">
      <alignment horizontal="center" vertical="center"/>
    </xf>
    <xf numFmtId="0" fontId="14" fillId="28" borderId="4" xfId="0" applyFont="1" applyFill="1" applyBorder="1" applyAlignment="1">
      <alignment horizontal="center" vertical="center"/>
    </xf>
    <xf numFmtId="0" fontId="14" fillId="28" borderId="40" xfId="0" applyFont="1" applyFill="1" applyBorder="1" applyAlignment="1">
      <alignment horizontal="center" vertical="center"/>
    </xf>
    <xf numFmtId="0" fontId="14" fillId="28" borderId="30" xfId="0" applyFont="1" applyFill="1" applyBorder="1" applyAlignment="1">
      <alignment horizontal="center" vertical="center"/>
    </xf>
    <xf numFmtId="0" fontId="18" fillId="27" borderId="6" xfId="0" applyFont="1" applyFill="1" applyBorder="1" applyAlignment="1">
      <alignment horizontal="center" vertical="center"/>
    </xf>
    <xf numFmtId="0" fontId="18" fillId="27" borderId="0" xfId="0" applyFont="1" applyFill="1" applyBorder="1" applyAlignment="1">
      <alignment horizontal="center" vertical="center"/>
    </xf>
    <xf numFmtId="0" fontId="18" fillId="27" borderId="40" xfId="0" applyFont="1" applyFill="1" applyBorder="1" applyAlignment="1">
      <alignment horizontal="center" vertical="center"/>
    </xf>
    <xf numFmtId="0" fontId="18" fillId="27" borderId="30" xfId="0" applyFont="1" applyFill="1" applyBorder="1" applyAlignment="1">
      <alignment horizontal="center" vertical="center"/>
    </xf>
    <xf numFmtId="0" fontId="13" fillId="24" borderId="45" xfId="3" applyFont="1" applyFill="1" applyBorder="1" applyAlignment="1">
      <alignment horizontal="center" vertical="center"/>
    </xf>
    <xf numFmtId="0" fontId="13" fillId="24" borderId="8" xfId="3" applyFont="1" applyFill="1" applyBorder="1" applyAlignment="1">
      <alignment horizontal="center" vertical="center"/>
    </xf>
    <xf numFmtId="0" fontId="19" fillId="27" borderId="7" xfId="0" applyFont="1" applyFill="1" applyBorder="1" applyAlignment="1">
      <alignment horizontal="center" vertical="center"/>
    </xf>
    <xf numFmtId="0" fontId="19" fillId="27" borderId="41" xfId="0" applyFont="1" applyFill="1" applyBorder="1" applyAlignment="1">
      <alignment horizontal="center" vertical="center"/>
    </xf>
    <xf numFmtId="0" fontId="20" fillId="25" borderId="4" xfId="3" applyFont="1" applyFill="1" applyBorder="1" applyAlignment="1">
      <alignment horizontal="center" vertical="center"/>
    </xf>
    <xf numFmtId="0" fontId="20" fillId="25" borderId="36" xfId="3" applyFont="1" applyFill="1" applyBorder="1" applyAlignment="1">
      <alignment horizontal="center" vertical="center"/>
    </xf>
    <xf numFmtId="0" fontId="5" fillId="20" borderId="0" xfId="19" applyAlignment="1">
      <alignment horizontal="center" vertical="center"/>
    </xf>
    <xf numFmtId="0" fontId="11" fillId="3" borderId="3" xfId="2" applyFont="1" applyBorder="1" applyAlignment="1">
      <alignment horizontal="center" vertical="center"/>
    </xf>
    <xf numFmtId="0" fontId="11" fillId="3" borderId="8" xfId="2" applyFont="1" applyBorder="1" applyAlignment="1">
      <alignment horizontal="center" vertical="center"/>
    </xf>
    <xf numFmtId="0" fontId="9" fillId="2" borderId="4" xfId="1" applyFont="1" applyBorder="1" applyAlignment="1">
      <alignment horizontal="center" vertical="center"/>
    </xf>
    <xf numFmtId="0" fontId="9" fillId="2" borderId="9" xfId="1" applyFont="1" applyBorder="1" applyAlignment="1">
      <alignment horizontal="center" vertical="center"/>
    </xf>
    <xf numFmtId="0" fontId="9" fillId="2" borderId="5" xfId="1" applyFont="1" applyBorder="1" applyAlignment="1">
      <alignment horizontal="center" vertical="center"/>
    </xf>
    <xf numFmtId="0" fontId="9" fillId="2" borderId="10" xfId="1" applyFont="1" applyBorder="1" applyAlignment="1">
      <alignment horizontal="center" vertical="center"/>
    </xf>
    <xf numFmtId="0" fontId="11" fillId="3" borderId="4" xfId="2" applyFont="1" applyBorder="1" applyAlignment="1">
      <alignment horizontal="center" vertical="center"/>
    </xf>
    <xf numFmtId="0" fontId="11" fillId="3" borderId="5" xfId="2" applyFont="1" applyBorder="1" applyAlignment="1">
      <alignment horizontal="center" vertical="center"/>
    </xf>
    <xf numFmtId="0" fontId="11" fillId="3" borderId="9" xfId="2" applyFont="1" applyBorder="1" applyAlignment="1">
      <alignment horizontal="center" vertical="center"/>
    </xf>
    <xf numFmtId="0" fontId="11" fillId="3" borderId="10" xfId="2" applyFont="1" applyBorder="1" applyAlignment="1">
      <alignment horizontal="center" vertical="center"/>
    </xf>
    <xf numFmtId="0" fontId="5" fillId="12" borderId="19" xfId="11" applyBorder="1" applyAlignment="1">
      <alignment horizontal="center"/>
    </xf>
    <xf numFmtId="0" fontId="5" fillId="12" borderId="20" xfId="11" applyBorder="1" applyAlignment="1">
      <alignment horizontal="center"/>
    </xf>
    <xf numFmtId="0" fontId="5" fillId="12" borderId="21" xfId="11" applyBorder="1" applyAlignment="1">
      <alignment horizontal="center"/>
    </xf>
    <xf numFmtId="0" fontId="5" fillId="14" borderId="23" xfId="13" applyBorder="1" applyAlignment="1">
      <alignment horizontal="center"/>
    </xf>
    <xf numFmtId="0" fontId="5" fillId="14" borderId="12" xfId="13" applyBorder="1" applyAlignment="1">
      <alignment horizontal="center"/>
    </xf>
    <xf numFmtId="0" fontId="5" fillId="14" borderId="24" xfId="13" applyBorder="1" applyAlignment="1">
      <alignment horizontal="center"/>
    </xf>
    <xf numFmtId="0" fontId="5" fillId="20" borderId="23" xfId="19" applyBorder="1" applyAlignment="1">
      <alignment horizontal="center"/>
    </xf>
    <xf numFmtId="0" fontId="5" fillId="20" borderId="12" xfId="19" applyBorder="1" applyAlignment="1">
      <alignment horizontal="center"/>
    </xf>
    <xf numFmtId="0" fontId="5" fillId="20" borderId="24" xfId="19" applyBorder="1" applyAlignment="1">
      <alignment horizontal="center"/>
    </xf>
    <xf numFmtId="0" fontId="5" fillId="6" borderId="23" xfId="5" applyBorder="1" applyAlignment="1">
      <alignment horizontal="center"/>
    </xf>
    <xf numFmtId="0" fontId="5" fillId="6" borderId="12" xfId="5" applyBorder="1" applyAlignment="1">
      <alignment horizontal="center"/>
    </xf>
    <xf numFmtId="0" fontId="5" fillId="6" borderId="24" xfId="5" applyBorder="1" applyAlignment="1">
      <alignment horizontal="center"/>
    </xf>
    <xf numFmtId="0" fontId="5" fillId="9" borderId="23" xfId="8" applyBorder="1" applyAlignment="1">
      <alignment horizontal="center"/>
    </xf>
    <xf numFmtId="0" fontId="5" fillId="9" borderId="12" xfId="8" applyBorder="1" applyAlignment="1">
      <alignment horizontal="center"/>
    </xf>
    <xf numFmtId="0" fontId="5" fillId="9" borderId="24" xfId="8" applyBorder="1" applyAlignment="1">
      <alignment horizontal="center"/>
    </xf>
    <xf numFmtId="0" fontId="5" fillId="17" borderId="14" xfId="16" applyBorder="1" applyAlignment="1">
      <alignment horizontal="center"/>
    </xf>
    <xf numFmtId="0" fontId="5" fillId="17" borderId="12" xfId="16" applyBorder="1" applyAlignment="1">
      <alignment horizontal="center"/>
    </xf>
    <xf numFmtId="0" fontId="5" fillId="17" borderId="13" xfId="16" applyBorder="1" applyAlignment="1">
      <alignment horizontal="center"/>
    </xf>
    <xf numFmtId="0" fontId="5" fillId="19" borderId="34" xfId="18" applyBorder="1" applyAlignment="1">
      <alignment horizontal="center"/>
    </xf>
    <xf numFmtId="0" fontId="5" fillId="19" borderId="17" xfId="18" applyBorder="1" applyAlignment="1">
      <alignment horizontal="center"/>
    </xf>
    <xf numFmtId="0" fontId="8" fillId="18" borderId="6" xfId="17" applyFont="1" applyBorder="1" applyAlignment="1">
      <alignment horizontal="center" vertical="center"/>
    </xf>
    <xf numFmtId="0" fontId="8" fillId="18" borderId="0" xfId="17" applyFont="1" applyBorder="1" applyAlignment="1">
      <alignment horizontal="center" vertical="center"/>
    </xf>
    <xf numFmtId="0" fontId="8" fillId="18" borderId="8" xfId="17" applyFont="1" applyBorder="1" applyAlignment="1">
      <alignment horizontal="center" vertical="center"/>
    </xf>
    <xf numFmtId="0" fontId="8" fillId="18" borderId="9" xfId="17" applyFont="1" applyBorder="1" applyAlignment="1">
      <alignment horizontal="center" vertical="center"/>
    </xf>
    <xf numFmtId="0" fontId="8" fillId="18" borderId="7" xfId="17" applyFont="1" applyBorder="1" applyAlignment="1">
      <alignment horizontal="center" vertical="center"/>
    </xf>
    <xf numFmtId="0" fontId="8" fillId="18" borderId="10" xfId="17" applyFont="1" applyBorder="1" applyAlignment="1">
      <alignment horizontal="center" vertical="center"/>
    </xf>
    <xf numFmtId="0" fontId="5" fillId="19" borderId="16" xfId="18" applyBorder="1" applyAlignment="1">
      <alignment horizontal="center"/>
    </xf>
    <xf numFmtId="0" fontId="5" fillId="19" borderId="47" xfId="18" applyBorder="1" applyAlignment="1">
      <alignment horizontal="center"/>
    </xf>
    <xf numFmtId="0" fontId="5" fillId="19" borderId="35" xfId="18" applyBorder="1" applyAlignment="1">
      <alignment horizontal="center"/>
    </xf>
    <xf numFmtId="0" fontId="17" fillId="26" borderId="7" xfId="0" applyFont="1" applyFill="1" applyBorder="1" applyAlignment="1">
      <alignment horizontal="center" vertical="center"/>
    </xf>
    <xf numFmtId="0" fontId="17" fillId="26" borderId="10" xfId="0" applyFont="1" applyFill="1" applyBorder="1" applyAlignment="1">
      <alignment horizontal="center" vertical="center"/>
    </xf>
    <xf numFmtId="0" fontId="0" fillId="0" borderId="0" xfId="0" applyAlignment="1">
      <alignment horizontal="center"/>
    </xf>
    <xf numFmtId="0" fontId="4" fillId="4" borderId="42" xfId="3" applyBorder="1" applyAlignment="1">
      <alignment horizontal="center"/>
    </xf>
    <xf numFmtId="0" fontId="4" fillId="4" borderId="43" xfId="3" applyBorder="1" applyAlignment="1">
      <alignment horizontal="center"/>
    </xf>
    <xf numFmtId="0" fontId="4" fillId="4" borderId="11" xfId="3" applyBorder="1" applyAlignment="1">
      <alignment horizontal="center"/>
    </xf>
    <xf numFmtId="0" fontId="7" fillId="5" borderId="31" xfId="4" applyFont="1" applyBorder="1" applyAlignment="1">
      <alignment horizontal="center" vertical="center" wrapText="1"/>
    </xf>
    <xf numFmtId="0" fontId="7" fillId="5" borderId="32" xfId="4" applyFont="1" applyBorder="1" applyAlignment="1">
      <alignment horizontal="center" vertical="center" wrapText="1"/>
    </xf>
    <xf numFmtId="0" fontId="6" fillId="5" borderId="4" xfId="4" applyFont="1" applyBorder="1" applyAlignment="1">
      <alignment horizontal="center" vertical="center"/>
    </xf>
    <xf numFmtId="0" fontId="6" fillId="5" borderId="5" xfId="4" applyFont="1" applyBorder="1" applyAlignment="1">
      <alignment horizontal="center" vertical="center"/>
    </xf>
    <xf numFmtId="0" fontId="6" fillId="5" borderId="0" xfId="4" applyFont="1" applyBorder="1" applyAlignment="1">
      <alignment horizontal="center" vertical="center"/>
    </xf>
    <xf numFmtId="0" fontId="6" fillId="5" borderId="7" xfId="4" applyFont="1" applyBorder="1" applyAlignment="1">
      <alignment horizontal="center" vertical="center"/>
    </xf>
    <xf numFmtId="0" fontId="0" fillId="5" borderId="9" xfId="4" applyFont="1" applyBorder="1" applyAlignment="1">
      <alignment horizontal="center"/>
    </xf>
    <xf numFmtId="0" fontId="0" fillId="5" borderId="10" xfId="4" applyFont="1" applyBorder="1" applyAlignment="1">
      <alignment horizontal="center"/>
    </xf>
    <xf numFmtId="0" fontId="0" fillId="5" borderId="4" xfId="4" applyFont="1" applyBorder="1" applyAlignment="1">
      <alignment horizontal="center"/>
    </xf>
    <xf numFmtId="0" fontId="0" fillId="5" borderId="5" xfId="4" applyFont="1" applyBorder="1" applyAlignment="1">
      <alignment horizontal="center"/>
    </xf>
    <xf numFmtId="0" fontId="10" fillId="23" borderId="4" xfId="1" applyFont="1" applyFill="1" applyBorder="1" applyAlignment="1">
      <alignment horizontal="center" vertical="center"/>
    </xf>
    <xf numFmtId="0" fontId="10" fillId="23" borderId="9" xfId="1" applyFont="1" applyFill="1" applyBorder="1" applyAlignment="1">
      <alignment horizontal="center" vertical="center"/>
    </xf>
    <xf numFmtId="0" fontId="10" fillId="23" borderId="5" xfId="1" applyFont="1" applyFill="1" applyBorder="1" applyAlignment="1">
      <alignment horizontal="center" vertical="center"/>
    </xf>
    <xf numFmtId="0" fontId="10" fillId="23" borderId="10" xfId="1" applyFont="1" applyFill="1" applyBorder="1" applyAlignment="1">
      <alignment horizontal="center" vertical="center"/>
    </xf>
    <xf numFmtId="0" fontId="20" fillId="25" borderId="5" xfId="3" applyFont="1" applyFill="1" applyBorder="1" applyAlignment="1">
      <alignment horizontal="center" vertical="center"/>
    </xf>
    <xf numFmtId="0" fontId="20" fillId="25" borderId="37" xfId="3" applyFont="1" applyFill="1" applyBorder="1" applyAlignment="1">
      <alignment horizontal="center" vertical="center"/>
    </xf>
    <xf numFmtId="0" fontId="16" fillId="26" borderId="6" xfId="0" applyFont="1" applyFill="1" applyBorder="1" applyAlignment="1">
      <alignment horizontal="center" vertical="center"/>
    </xf>
    <xf numFmtId="0" fontId="16" fillId="26" borderId="0" xfId="0" applyFont="1" applyFill="1" applyBorder="1" applyAlignment="1">
      <alignment horizontal="center" vertical="center"/>
    </xf>
    <xf numFmtId="0" fontId="16" fillId="26" borderId="8" xfId="0" applyFont="1" applyFill="1" applyBorder="1" applyAlignment="1">
      <alignment horizontal="center" vertical="center"/>
    </xf>
    <xf numFmtId="0" fontId="16" fillId="26" borderId="9" xfId="0" applyFont="1" applyFill="1" applyBorder="1" applyAlignment="1">
      <alignment horizontal="center" vertical="center"/>
    </xf>
    <xf numFmtId="0" fontId="15" fillId="28" borderId="5" xfId="0" applyFont="1" applyFill="1" applyBorder="1" applyAlignment="1">
      <alignment horizontal="center" vertical="center"/>
    </xf>
    <xf numFmtId="0" fontId="15" fillId="28" borderId="41" xfId="0" applyFont="1" applyFill="1" applyBorder="1" applyAlignment="1">
      <alignment horizontal="center" vertical="center"/>
    </xf>
    <xf numFmtId="0" fontId="10" fillId="23" borderId="3" xfId="1" applyFont="1" applyFill="1" applyBorder="1" applyAlignment="1">
      <alignment horizontal="center" vertical="center"/>
    </xf>
    <xf numFmtId="0" fontId="10" fillId="23" borderId="8" xfId="1" applyFont="1" applyFill="1" applyBorder="1" applyAlignment="1">
      <alignment horizontal="center" vertical="center"/>
    </xf>
    <xf numFmtId="0" fontId="12" fillId="25" borderId="3" xfId="3" applyFont="1" applyFill="1" applyBorder="1" applyAlignment="1">
      <alignment horizontal="center" vertical="center"/>
    </xf>
    <xf numFmtId="0" fontId="12" fillId="25" borderId="46" xfId="3" applyFont="1" applyFill="1" applyBorder="1" applyAlignment="1">
      <alignment horizontal="center" vertical="center"/>
    </xf>
  </cellXfs>
  <cellStyles count="23">
    <cellStyle name="20% - Accent1" xfId="6" builtinId="30"/>
    <cellStyle name="20% - Accent2" xfId="9" builtinId="34"/>
    <cellStyle name="20% - Accent4" xfId="14" builtinId="42"/>
    <cellStyle name="20% - Accent5" xfId="17" builtinId="46"/>
    <cellStyle name="20% - Accent6" xfId="20" builtinId="50"/>
    <cellStyle name="40% - Accent1" xfId="7" builtinId="31"/>
    <cellStyle name="40% - Accent2" xfId="10" builtinId="35"/>
    <cellStyle name="40% - Accent4" xfId="15" builtinId="43"/>
    <cellStyle name="40% - Accent6" xfId="21" builtinId="51"/>
    <cellStyle name="60% - Accent3" xfId="12" builtinId="40"/>
    <cellStyle name="60% - Accent5" xfId="18" builtinId="48"/>
    <cellStyle name="60% - Accent6" xfId="22" builtinId="52"/>
    <cellStyle name="Accent1" xfId="5" builtinId="29"/>
    <cellStyle name="Accent2" xfId="8" builtinId="33"/>
    <cellStyle name="Accent3" xfId="11" builtinId="37"/>
    <cellStyle name="Accent4" xfId="13" builtinId="41"/>
    <cellStyle name="Accent5" xfId="16" builtinId="45"/>
    <cellStyle name="Accent6" xfId="19" builtinId="49"/>
    <cellStyle name="Bad" xfId="1" builtinId="27"/>
    <cellStyle name="Input" xfId="3" builtinId="20"/>
    <cellStyle name="Neutral" xfId="2" builtinId="28"/>
    <cellStyle name="Normal" xfId="0" builtinId="0"/>
    <cellStyle name="Note" xfId="4" builtinId="10"/>
  </cellStyles>
  <dxfs count="10">
    <dxf>
      <alignment horizontal="lef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alignment horizontal="center" vertical="center" textRotation="0" wrapText="1" indent="0" justifyLastLine="0" shrinkToFit="0" readingOrder="0"/>
    </dxf>
    <dxf>
      <alignment horizontal="left" vertical="bottom" textRotation="0" wrapText="1" indent="0" justifyLastLine="0" shrinkToFit="0" readingOrder="0"/>
    </dxf>
    <dxf>
      <alignment horizontal="left"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082F86"/>
      <color rgb="FF55C9FD"/>
      <color rgb="FF744006"/>
      <color rgb="FFFED562"/>
      <color rgb="FF094718"/>
      <color rgb="FF0E6810"/>
      <color rgb="FF23E509"/>
      <color rgb="FF5BF362"/>
      <color rgb="FF11ED1B"/>
      <color rgb="FF32E4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419100</xdr:colOff>
          <xdr:row>4</xdr:row>
          <xdr:rowOff>19050</xdr:rowOff>
        </xdr:from>
        <xdr:to>
          <xdr:col>0</xdr:col>
          <xdr:colOff>590550</xdr:colOff>
          <xdr:row>4</xdr:row>
          <xdr:rowOff>190500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5</xdr:row>
          <xdr:rowOff>9525</xdr:rowOff>
        </xdr:from>
        <xdr:to>
          <xdr:col>0</xdr:col>
          <xdr:colOff>590550</xdr:colOff>
          <xdr:row>5</xdr:row>
          <xdr:rowOff>180975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6</xdr:row>
          <xdr:rowOff>9525</xdr:rowOff>
        </xdr:from>
        <xdr:to>
          <xdr:col>0</xdr:col>
          <xdr:colOff>590550</xdr:colOff>
          <xdr:row>6</xdr:row>
          <xdr:rowOff>180975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8</xdr:row>
          <xdr:rowOff>19050</xdr:rowOff>
        </xdr:from>
        <xdr:to>
          <xdr:col>0</xdr:col>
          <xdr:colOff>590550</xdr:colOff>
          <xdr:row>8</xdr:row>
          <xdr:rowOff>190500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9</xdr:row>
          <xdr:rowOff>9525</xdr:rowOff>
        </xdr:from>
        <xdr:to>
          <xdr:col>0</xdr:col>
          <xdr:colOff>590550</xdr:colOff>
          <xdr:row>9</xdr:row>
          <xdr:rowOff>180975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10</xdr:row>
          <xdr:rowOff>9525</xdr:rowOff>
        </xdr:from>
        <xdr:to>
          <xdr:col>0</xdr:col>
          <xdr:colOff>590550</xdr:colOff>
          <xdr:row>10</xdr:row>
          <xdr:rowOff>180975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11</xdr:row>
          <xdr:rowOff>9525</xdr:rowOff>
        </xdr:from>
        <xdr:to>
          <xdr:col>0</xdr:col>
          <xdr:colOff>590550</xdr:colOff>
          <xdr:row>11</xdr:row>
          <xdr:rowOff>180975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13</xdr:row>
          <xdr:rowOff>9525</xdr:rowOff>
        </xdr:from>
        <xdr:to>
          <xdr:col>0</xdr:col>
          <xdr:colOff>590550</xdr:colOff>
          <xdr:row>13</xdr:row>
          <xdr:rowOff>180975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14</xdr:row>
          <xdr:rowOff>9525</xdr:rowOff>
        </xdr:from>
        <xdr:to>
          <xdr:col>0</xdr:col>
          <xdr:colOff>590550</xdr:colOff>
          <xdr:row>14</xdr:row>
          <xdr:rowOff>180975</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15</xdr:row>
          <xdr:rowOff>9525</xdr:rowOff>
        </xdr:from>
        <xdr:to>
          <xdr:col>0</xdr:col>
          <xdr:colOff>590550</xdr:colOff>
          <xdr:row>15</xdr:row>
          <xdr:rowOff>180975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17</xdr:row>
          <xdr:rowOff>9525</xdr:rowOff>
        </xdr:from>
        <xdr:to>
          <xdr:col>0</xdr:col>
          <xdr:colOff>590550</xdr:colOff>
          <xdr:row>17</xdr:row>
          <xdr:rowOff>180975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18</xdr:row>
          <xdr:rowOff>9525</xdr:rowOff>
        </xdr:from>
        <xdr:to>
          <xdr:col>0</xdr:col>
          <xdr:colOff>590550</xdr:colOff>
          <xdr:row>18</xdr:row>
          <xdr:rowOff>180975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19</xdr:row>
          <xdr:rowOff>9525</xdr:rowOff>
        </xdr:from>
        <xdr:to>
          <xdr:col>0</xdr:col>
          <xdr:colOff>590550</xdr:colOff>
          <xdr:row>19</xdr:row>
          <xdr:rowOff>180975</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20</xdr:row>
          <xdr:rowOff>9525</xdr:rowOff>
        </xdr:from>
        <xdr:to>
          <xdr:col>0</xdr:col>
          <xdr:colOff>590550</xdr:colOff>
          <xdr:row>20</xdr:row>
          <xdr:rowOff>180975</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21</xdr:row>
          <xdr:rowOff>9525</xdr:rowOff>
        </xdr:from>
        <xdr:to>
          <xdr:col>0</xdr:col>
          <xdr:colOff>590550</xdr:colOff>
          <xdr:row>21</xdr:row>
          <xdr:rowOff>180975</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22</xdr:row>
          <xdr:rowOff>9525</xdr:rowOff>
        </xdr:from>
        <xdr:to>
          <xdr:col>0</xdr:col>
          <xdr:colOff>590550</xdr:colOff>
          <xdr:row>22</xdr:row>
          <xdr:rowOff>180975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23</xdr:row>
          <xdr:rowOff>9525</xdr:rowOff>
        </xdr:from>
        <xdr:to>
          <xdr:col>0</xdr:col>
          <xdr:colOff>590550</xdr:colOff>
          <xdr:row>23</xdr:row>
          <xdr:rowOff>180975</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24</xdr:row>
          <xdr:rowOff>9525</xdr:rowOff>
        </xdr:from>
        <xdr:to>
          <xdr:col>0</xdr:col>
          <xdr:colOff>590550</xdr:colOff>
          <xdr:row>24</xdr:row>
          <xdr:rowOff>180975</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333375</xdr:colOff>
          <xdr:row>1</xdr:row>
          <xdr:rowOff>38100</xdr:rowOff>
        </xdr:from>
        <xdr:to>
          <xdr:col>9</xdr:col>
          <xdr:colOff>695325</xdr:colOff>
          <xdr:row>2</xdr:row>
          <xdr:rowOff>152400</xdr:rowOff>
        </xdr:to>
        <xdr:sp macro="" textlink="">
          <xdr:nvSpPr>
            <xdr:cNvPr id="1051" name="XPPlus"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76201</xdr:colOff>
      <xdr:row>3</xdr:row>
      <xdr:rowOff>47625</xdr:rowOff>
    </xdr:from>
    <xdr:to>
      <xdr:col>8</xdr:col>
      <xdr:colOff>3238500</xdr:colOff>
      <xdr:row>31</xdr:row>
      <xdr:rowOff>303131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95676" y="638175"/>
          <a:ext cx="3924299" cy="5665706"/>
        </a:xfrm>
        <a:prstGeom prst="rect">
          <a:avLst/>
        </a:prstGeom>
      </xdr:spPr>
    </xdr:pic>
    <xdr:clientData/>
  </xdr:twoCellAnchor>
</xdr:wsDr>
</file>

<file path=xl/tables/table1.xml><?xml version="1.0" encoding="utf-8"?>
<table xmlns="http://schemas.openxmlformats.org/spreadsheetml/2006/main" id="5" name="Table5" displayName="Table5" ref="H33:K38" headerRowCount="0" totalsRowShown="0" headerRowDxfId="9" dataDxfId="8">
  <tableColumns count="4">
    <tableColumn id="1" name="Column1" dataDxfId="7"/>
    <tableColumn id="2" name="Column2" dataDxfId="6"/>
    <tableColumn id="3" name="Column3" dataDxfId="5"/>
    <tableColumn id="4" name="Column4" headerRowDxfId="4" dataDxfId="3"/>
  </tableColumns>
  <tableStyleInfo name="TableStyleDark8" showFirstColumn="0" showLastColumn="0" showRowStripes="1" showColumnStripes="0"/>
</table>
</file>

<file path=xl/tables/table2.xml><?xml version="1.0" encoding="utf-8"?>
<table xmlns="http://schemas.openxmlformats.org/spreadsheetml/2006/main" id="1" name="Table1" displayName="Table1" ref="P5:R7" headerRowCount="0" totalsRowShown="0">
  <tableColumns count="3">
    <tableColumn id="1" name="Column1" dataDxfId="2"/>
    <tableColumn id="2" name="Column2" dataDxfId="1"/>
    <tableColumn id="3" name="Column3" dataDxfId="0"/>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table" Target="../tables/table1.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ctrlProp" Target="../ctrlProps/ctrlProp18.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39"/>
  <sheetViews>
    <sheetView showGridLines="0" tabSelected="1" topLeftCell="A22" zoomScale="115" zoomScaleNormal="115" workbookViewId="0">
      <selection activeCell="I35" sqref="I35"/>
    </sheetView>
  </sheetViews>
  <sheetFormatPr defaultRowHeight="15" x14ac:dyDescent="0.25"/>
  <cols>
    <col min="1" max="1" width="9.140625" customWidth="1"/>
    <col min="2" max="2" width="10.7109375" bestFit="1" customWidth="1"/>
    <col min="3" max="3" width="5.85546875" customWidth="1"/>
    <col min="4" max="4" width="6.140625" customWidth="1"/>
    <col min="5" max="5" width="5.5703125" customWidth="1"/>
    <col min="6" max="6" width="10.85546875" customWidth="1"/>
    <col min="7" max="7" width="3" customWidth="1"/>
    <col min="8" max="8" width="11.42578125" customWidth="1"/>
    <col min="9" max="9" width="62.42578125" customWidth="1"/>
    <col min="10" max="10" width="11.28515625" bestFit="1" customWidth="1"/>
    <col min="11" max="11" width="10.85546875" customWidth="1"/>
    <col min="12" max="12" width="8" customWidth="1"/>
    <col min="13" max="13" width="1.85546875" customWidth="1"/>
    <col min="14" max="14" width="6" bestFit="1" customWidth="1"/>
    <col min="15" max="15" width="2.5703125" customWidth="1"/>
    <col min="16" max="16" width="10.140625" customWidth="1"/>
    <col min="17" max="17" width="15.7109375" customWidth="1"/>
    <col min="18" max="18" width="117.85546875" customWidth="1"/>
    <col min="19" max="19" width="10.5703125" customWidth="1"/>
    <col min="20" max="21" width="11.7109375" customWidth="1"/>
  </cols>
  <sheetData>
    <row r="1" spans="1:18" ht="15.75" thickBot="1" x14ac:dyDescent="0.3"/>
    <row r="2" spans="1:18" ht="15" customHeight="1" thickTop="1" thickBot="1" x14ac:dyDescent="0.3">
      <c r="A2" s="13"/>
      <c r="B2" s="87" t="str">
        <f>IF(L24 = 0,"Attributes","Atributos")</f>
        <v>Attributes</v>
      </c>
      <c r="C2" s="88"/>
      <c r="D2" s="88"/>
      <c r="E2" s="88"/>
      <c r="F2" s="89"/>
      <c r="H2" s="46" t="str">
        <f>IF(L24 = 0, "Name:", "Nome:")</f>
        <v>Name:</v>
      </c>
      <c r="I2" s="40" t="s">
        <v>12</v>
      </c>
      <c r="K2" s="77" t="s">
        <v>2</v>
      </c>
      <c r="L2" s="83">
        <v>0</v>
      </c>
      <c r="M2" s="83"/>
      <c r="N2" s="84"/>
      <c r="P2" s="76" t="str">
        <f>IF(L24=0,"Inventory", "Inventário")</f>
        <v>Inventory</v>
      </c>
      <c r="Q2" s="76"/>
      <c r="R2" s="76"/>
    </row>
    <row r="3" spans="1:18" ht="15.75" customHeight="1" thickBot="1" x14ac:dyDescent="0.3">
      <c r="A3" s="13"/>
      <c r="B3" s="37" t="str">
        <f>IF(L24 = 0,"Name","Nome")</f>
        <v>Name</v>
      </c>
      <c r="C3" s="38" t="str">
        <f>IF(L24 = 0,"Cost","Custo")</f>
        <v>Cost</v>
      </c>
      <c r="D3" s="38" t="str">
        <f>IF(L24 = 0,"Score","Valor")</f>
        <v>Score</v>
      </c>
      <c r="E3" s="38" t="str">
        <f>IF(L24=0, "Bonus", "Bonus")</f>
        <v>Bonus</v>
      </c>
      <c r="F3" s="39" t="str">
        <f>IF(L24 = 0,"Dice","Dado")</f>
        <v>Dice</v>
      </c>
      <c r="H3" s="47"/>
      <c r="K3" s="78"/>
      <c r="L3" s="85"/>
      <c r="M3" s="85"/>
      <c r="N3" s="86"/>
      <c r="O3" s="2"/>
      <c r="P3" s="76"/>
      <c r="Q3" s="76"/>
      <c r="R3" s="76"/>
    </row>
    <row r="4" spans="1:18" ht="15" customHeight="1" x14ac:dyDescent="0.25">
      <c r="A4" s="13"/>
      <c r="B4" s="99" t="str">
        <f>IF(L24 = 0,"Physical","Físicos")</f>
        <v>Physical</v>
      </c>
      <c r="C4" s="100"/>
      <c r="D4" s="100"/>
      <c r="E4" s="100"/>
      <c r="F4" s="101"/>
      <c r="H4" s="118" t="s">
        <v>6</v>
      </c>
      <c r="I4" s="118"/>
      <c r="K4" s="77" t="s">
        <v>1</v>
      </c>
      <c r="L4" s="83">
        <v>4</v>
      </c>
      <c r="M4" s="83"/>
      <c r="N4" s="84"/>
      <c r="P4" s="48" t="s">
        <v>5</v>
      </c>
      <c r="Q4" s="48" t="str">
        <f>IF(L24 = 0, "Item", "Item")</f>
        <v>Item</v>
      </c>
      <c r="R4" s="48" t="str">
        <f>IF(L24 = 0, "Description", "Descrição")</f>
        <v>Description</v>
      </c>
    </row>
    <row r="5" spans="1:18" ht="15.75" customHeight="1" thickBot="1" x14ac:dyDescent="0.3">
      <c r="A5" s="13"/>
      <c r="B5" s="14" t="str">
        <f>IF(L24 = 0,"Agility","Agilidade")</f>
        <v>Agility</v>
      </c>
      <c r="C5" s="3">
        <f>IFERROR(_xlfn.NUMBERVALUE(D5), 0) + 1</f>
        <v>7</v>
      </c>
      <c r="D5" s="3">
        <v>6</v>
      </c>
      <c r="E5" s="3">
        <v>0</v>
      </c>
      <c r="F5" s="15" t="str">
        <f>IF(D5 + E5 &lt;= 1, "1d4", IF(D5 + E5 = 2, "1d6", IF(D5 + E5 = 3, "1d8", IF(D5 + E5 = 4, "1d10", IF(D5 + E5 = 5, "2d6", IF(D5 + E5 = 6, "2d8", IF(D5 + E5 = 7, "2d10", IF(D5 + E5 = 8, "3d8", IF(D5 + E5 = 9, "3d10", IF(D5 + E5 = 10, "4d8", ))))))))))</f>
        <v>2d8</v>
      </c>
      <c r="H5" s="118"/>
      <c r="I5" s="118"/>
      <c r="K5" s="78"/>
      <c r="L5" s="85"/>
      <c r="M5" s="85"/>
      <c r="N5" s="86"/>
      <c r="P5" s="52">
        <v>1</v>
      </c>
      <c r="Q5" s="52" t="s">
        <v>15</v>
      </c>
      <c r="R5" s="53" t="s">
        <v>14</v>
      </c>
    </row>
    <row r="6" spans="1:18" ht="15" customHeight="1" thickBot="1" x14ac:dyDescent="0.3">
      <c r="A6" s="13"/>
      <c r="B6" s="16" t="str">
        <f>IF(L24 = 0,"Fortitude","Fortitude")</f>
        <v>Fortitude</v>
      </c>
      <c r="C6" s="4">
        <f t="shared" ref="C6:C7" si="0">IFERROR(_xlfn.NUMBERVALUE(D6), 0) + 1</f>
        <v>5</v>
      </c>
      <c r="D6" s="4">
        <v>4</v>
      </c>
      <c r="E6" s="4"/>
      <c r="F6" s="17" t="str">
        <f t="shared" ref="F6:F7" si="1">IF(D6 + E6 &lt;= 1, "1d4", IF(D6 + E6 = 2, "1d6", IF(D6 + E6 = 3, "1d8", IF(D6 + E6 = 4, "1d10", IF(D6 + E6 = 5, "2d6", IF(D6 + E6 = 6, "2d8", IF(D6 + E6 = 7, "2d10", IF(D6 + E6 = 8, "3d8", IF(D6 + E6 = 9, "3d10", IF(D6 + E6 = 10, "4d8", ))))))))))</f>
        <v>1d10</v>
      </c>
      <c r="H6" s="118"/>
      <c r="I6" s="118"/>
      <c r="L6" s="1"/>
      <c r="M6" s="1"/>
      <c r="N6" s="1"/>
      <c r="P6" s="52">
        <v>3</v>
      </c>
      <c r="Q6" s="52" t="s">
        <v>13</v>
      </c>
      <c r="R6" s="53" t="s">
        <v>14</v>
      </c>
    </row>
    <row r="7" spans="1:18" ht="15" customHeight="1" thickBot="1" x14ac:dyDescent="0.3">
      <c r="A7" s="13"/>
      <c r="B7" s="18" t="str">
        <f>IF(L24 = 0,"Might","Força")</f>
        <v>Might</v>
      </c>
      <c r="C7" s="3">
        <f t="shared" si="0"/>
        <v>2</v>
      </c>
      <c r="D7" s="5">
        <v>1</v>
      </c>
      <c r="E7" s="5"/>
      <c r="F7" s="19" t="str">
        <f t="shared" si="1"/>
        <v>1d4</v>
      </c>
      <c r="H7" s="118"/>
      <c r="I7" s="118"/>
      <c r="K7" s="60" t="s">
        <v>3</v>
      </c>
      <c r="L7" s="79">
        <v>27</v>
      </c>
      <c r="M7" s="79" t="s">
        <v>0</v>
      </c>
      <c r="N7" s="81">
        <f xml:space="preserve"> 10 + 2*(D6+E6) + 2*(D16+E16) + D12+E12 + _xlfn.FLOOR.MATH(1.5*(D7+E7)) + 2 * L4</f>
        <v>27</v>
      </c>
      <c r="P7" s="52">
        <v>1</v>
      </c>
      <c r="Q7" s="52" t="s">
        <v>22</v>
      </c>
      <c r="R7" s="54" t="s">
        <v>9</v>
      </c>
    </row>
    <row r="8" spans="1:18" ht="15" customHeight="1" thickBot="1" x14ac:dyDescent="0.3">
      <c r="A8" s="13"/>
      <c r="B8" s="96" t="str">
        <f>IF(L24 = 0,"Mental","Mentais")</f>
        <v>Mental</v>
      </c>
      <c r="C8" s="97"/>
      <c r="D8" s="97"/>
      <c r="E8" s="97"/>
      <c r="F8" s="98"/>
      <c r="H8" s="118"/>
      <c r="I8" s="118"/>
      <c r="K8" s="61"/>
      <c r="L8" s="80"/>
      <c r="M8" s="80"/>
      <c r="N8" s="82"/>
    </row>
    <row r="9" spans="1:18" ht="15.75" customHeight="1" x14ac:dyDescent="0.25">
      <c r="A9" s="13"/>
      <c r="B9" s="20" t="str">
        <f>IF(L24 = 0,"Learning","Aprendizado")</f>
        <v>Learning</v>
      </c>
      <c r="C9" s="8">
        <f t="shared" ref="C9:C12" si="2">IFERROR(_xlfn.NUMBERVALUE(D9), 0) + 1</f>
        <v>1</v>
      </c>
      <c r="D9" s="8"/>
      <c r="E9" s="8"/>
      <c r="F9" s="21" t="str">
        <f t="shared" ref="F9:F12" si="3">IF(D9 + E9 &lt;= 1, "1d4", IF(D9 + E9 = 2, "1d6", IF(D9 + E9 = 3, "1d8", IF(D9 + E9 = 4, "1d10", IF(D9 + E9 = 5, "2d6", IF(D9 + E9 = 6, "2d8", IF(D9 + E9 = 7, "2d10", IF(D9 + E9 = 8, "3d8", IF(D9 + E9 = 9, "3d10", IF(D9 + E9 = 10, "4d8", ))))))))))</f>
        <v>1d4</v>
      </c>
      <c r="H9" s="118"/>
      <c r="I9" s="118"/>
      <c r="K9" s="144" t="s">
        <v>4</v>
      </c>
      <c r="L9" s="132">
        <v>18</v>
      </c>
      <c r="M9" s="132" t="s">
        <v>0</v>
      </c>
      <c r="N9" s="134">
        <f xml:space="preserve"> 10 + 3*(D9 + E9) + 2*(D12 + E12) + _xlfn.CEILING.MATH(1.5*MAX(D18+E18, D19+E19, D20+E20, D21+E21, D22+E22, D23+E23, D24+E24, D25+E25))</f>
        <v>18</v>
      </c>
    </row>
    <row r="10" spans="1:18" ht="15" customHeight="1" thickBot="1" x14ac:dyDescent="0.3">
      <c r="A10" s="13"/>
      <c r="B10" s="22" t="str">
        <f>IF(L24 = 0,"Logic","Lógica")</f>
        <v>Logic</v>
      </c>
      <c r="C10" s="9">
        <f t="shared" si="2"/>
        <v>1</v>
      </c>
      <c r="D10" s="9"/>
      <c r="E10" s="9"/>
      <c r="F10" s="23" t="str">
        <f t="shared" si="3"/>
        <v>1d4</v>
      </c>
      <c r="H10" s="118"/>
      <c r="I10" s="118"/>
      <c r="K10" s="145"/>
      <c r="L10" s="133"/>
      <c r="M10" s="133"/>
      <c r="N10" s="135"/>
    </row>
    <row r="11" spans="1:18" ht="15" customHeight="1" thickBot="1" x14ac:dyDescent="0.3">
      <c r="A11" s="13"/>
      <c r="B11" s="20" t="str">
        <f>IF(L24 = 0,"Perception","Percepção")</f>
        <v>Perception</v>
      </c>
      <c r="C11" s="8">
        <f>IFERROR(_xlfn.NUMBERVALUE(D11), 0) + 1</f>
        <v>4</v>
      </c>
      <c r="D11" s="8">
        <v>3</v>
      </c>
      <c r="E11" s="8"/>
      <c r="F11" s="21" t="str">
        <f t="shared" si="3"/>
        <v>1d8</v>
      </c>
      <c r="H11" s="118"/>
      <c r="I11" s="118"/>
    </row>
    <row r="12" spans="1:18" ht="15" customHeight="1" thickBot="1" x14ac:dyDescent="0.3">
      <c r="A12" s="13"/>
      <c r="B12" s="22" t="str">
        <f>IF(L24 = 0,"Will","Vontade")</f>
        <v>Will</v>
      </c>
      <c r="C12" s="9">
        <f t="shared" si="2"/>
        <v>1</v>
      </c>
      <c r="D12" s="9"/>
      <c r="E12" s="9"/>
      <c r="F12" s="23" t="str">
        <f t="shared" si="3"/>
        <v>1d4</v>
      </c>
      <c r="H12" s="118"/>
      <c r="I12" s="118"/>
      <c r="K12" s="146" t="str">
        <f>IF(L24 = 0, "GUARD", "GUARD")</f>
        <v>GUARD</v>
      </c>
      <c r="L12" s="74">
        <f>IF(OR(1.5*(D7 + E7) &lt; D5 + E5, IFERROR(_xlfn.NUMBERVALUE(L29), 0) = 0), 0, _xlfn.FLOOR.MATH(1.25*D7 + 1.25*E7 + 1*D6 + 1*E6 + 1.5*D25 + 1.5*E25 + (L29-5)*0.5))</f>
        <v>0</v>
      </c>
      <c r="M12" s="74" t="str">
        <f>IF(N12 &gt; 0, "+", "")</f>
        <v/>
      </c>
      <c r="N12" s="136"/>
    </row>
    <row r="13" spans="1:18" ht="15" customHeight="1" x14ac:dyDescent="0.25">
      <c r="A13" s="13"/>
      <c r="B13" s="93" t="str">
        <f>IF(L24 = 0,"Social","Sociais")</f>
        <v>Social</v>
      </c>
      <c r="C13" s="94"/>
      <c r="D13" s="94"/>
      <c r="E13" s="94"/>
      <c r="F13" s="95"/>
      <c r="H13" s="118"/>
      <c r="I13" s="118"/>
      <c r="K13" s="147"/>
      <c r="L13" s="75"/>
      <c r="M13" s="75"/>
      <c r="N13" s="137"/>
    </row>
    <row r="14" spans="1:18" ht="15" customHeight="1" x14ac:dyDescent="0.25">
      <c r="A14" s="13"/>
      <c r="B14" s="24" t="str">
        <f>IF(L24 = 0,"Deception","Enganação")</f>
        <v>Deception</v>
      </c>
      <c r="C14" s="10">
        <f t="shared" ref="C14:C16" si="4">IFERROR(_xlfn.NUMBERVALUE(D14), 0) + 1</f>
        <v>1</v>
      </c>
      <c r="D14" s="10"/>
      <c r="E14" s="10"/>
      <c r="F14" s="25" t="str">
        <f t="shared" ref="F14:F16" si="5">IF(D14 + E14 &lt;= 1, "1d4", IF(D14 + E14 = 2, "1d6", IF(D14 + E14 = 3, "1d8", IF(D14 + E14 = 4, "1d10", IF(D14 + E14 = 5, "2d6", IF(D14 + E14 = 6, "2d8", IF(D14 + E14 = 7, "2d10", IF(D14 + E14 = 8, "3d8", IF(D14 + E14 = 9, "3d10", IF(D14 + E14 = 10, "4d8", ))))))))))</f>
        <v>1d4</v>
      </c>
      <c r="H14" s="118"/>
      <c r="I14" s="118"/>
      <c r="K14" s="70" t="str">
        <f>IF(L24 = 0, "DODGE", "EVASÃO")</f>
        <v>DODGE</v>
      </c>
      <c r="L14" s="58">
        <f>IF(OR(D7 + E7&gt;1.5*(D5 + E5), IFERROR(_xlfn.NUMBERVALUE(L29), 0) = 0), 0, ROUND(0.75*(D5 + E5) + 0.5*(D11 + E11) - 0.5*(D7 + E7) - 0.5*(L29 - 5), 0))</f>
        <v>6</v>
      </c>
      <c r="M14" s="58" t="str">
        <f>IF(N14 &gt; 0, "+", "")</f>
        <v/>
      </c>
      <c r="N14" s="56"/>
    </row>
    <row r="15" spans="1:18" ht="15" customHeight="1" thickBot="1" x14ac:dyDescent="0.3">
      <c r="A15" s="13"/>
      <c r="B15" s="26" t="str">
        <f>IF(L24 = 0,"Persuation","Persuasão")</f>
        <v>Persuation</v>
      </c>
      <c r="C15" s="12">
        <f t="shared" si="4"/>
        <v>1</v>
      </c>
      <c r="D15" s="12"/>
      <c r="E15" s="12"/>
      <c r="F15" s="27" t="str">
        <f t="shared" si="5"/>
        <v>1d4</v>
      </c>
      <c r="H15" s="118"/>
      <c r="I15" s="118"/>
      <c r="K15" s="71"/>
      <c r="L15" s="59"/>
      <c r="M15" s="59"/>
      <c r="N15" s="57"/>
    </row>
    <row r="16" spans="1:18" ht="15" customHeight="1" thickBot="1" x14ac:dyDescent="0.3">
      <c r="A16" s="13"/>
      <c r="B16" s="28" t="str">
        <f>IF(L24 = 0,"Presence","Presença")</f>
        <v>Presence</v>
      </c>
      <c r="C16" s="11">
        <f t="shared" si="4"/>
        <v>1</v>
      </c>
      <c r="D16" s="11"/>
      <c r="E16" s="11"/>
      <c r="F16" s="29" t="str">
        <f t="shared" si="5"/>
        <v>1d4</v>
      </c>
      <c r="H16" s="118"/>
      <c r="I16" s="118"/>
    </row>
    <row r="17" spans="1:14" ht="15" customHeight="1" x14ac:dyDescent="0.25">
      <c r="A17" s="13"/>
      <c r="B17" s="90" t="str">
        <f>IF(L24 = 0,"Extraordinary","Extraordinários")</f>
        <v>Extraordinary</v>
      </c>
      <c r="C17" s="91"/>
      <c r="D17" s="91"/>
      <c r="E17" s="91"/>
      <c r="F17" s="92"/>
      <c r="H17" s="118"/>
      <c r="I17" s="118"/>
      <c r="K17" s="62" t="str">
        <f>IF(L24 = 0, "Skill Points", "Pontos de Habilidade")</f>
        <v>Skill Points</v>
      </c>
      <c r="L17" s="63"/>
      <c r="M17" s="63"/>
      <c r="N17" s="142">
        <v>0</v>
      </c>
    </row>
    <row r="18" spans="1:14" x14ac:dyDescent="0.25">
      <c r="A18" s="13"/>
      <c r="B18" s="30" t="str">
        <f>IF(L24 = 0,"Alteration","Alteração")</f>
        <v>Alteration</v>
      </c>
      <c r="C18" s="7">
        <f t="shared" ref="C18:C25" si="6">IFERROR(_xlfn.NUMBERVALUE(D18), 0) + 1</f>
        <v>1</v>
      </c>
      <c r="D18" s="7"/>
      <c r="E18" s="7"/>
      <c r="F18" s="31" t="str">
        <f t="shared" ref="F18:F25" si="7">IF(D18 + E18 &lt;= 1, "1d4", IF(D18 + E18 = 2, "1d6", IF(D18 + E18 = 3, "1d8", IF(D18 + E18 = 4, "1d10", IF(D18 + E18 = 5, "2d6", IF(D18 + E18 = 6, "2d8", IF(D18 + E18 = 7, "2d10", IF(D18 + E18 = 8, "3d8", IF(D18 + E18 = 9, "3d10", IF(D18 + E18 = 10, "4d8", ))))))))))</f>
        <v>1d4</v>
      </c>
      <c r="H18" s="118"/>
      <c r="I18" s="118"/>
      <c r="K18" s="64"/>
      <c r="L18" s="65"/>
      <c r="M18" s="65"/>
      <c r="N18" s="143"/>
    </row>
    <row r="19" spans="1:14" x14ac:dyDescent="0.25">
      <c r="A19" s="13"/>
      <c r="B19" s="32" t="str">
        <f>IF(L24 = 0,"Creation","Criação")</f>
        <v>Creation</v>
      </c>
      <c r="C19" s="6">
        <f t="shared" si="6"/>
        <v>1</v>
      </c>
      <c r="D19" s="6"/>
      <c r="E19" s="6"/>
      <c r="F19" s="33" t="str">
        <f t="shared" si="7"/>
        <v>1d4</v>
      </c>
      <c r="H19" s="118"/>
      <c r="I19" s="118"/>
      <c r="K19" s="66" t="str">
        <f>IF(L24= 0, "Attribute Points", "Pontos de Atributo")</f>
        <v>Attribute Points</v>
      </c>
      <c r="L19" s="67"/>
      <c r="M19" s="67"/>
      <c r="N19" s="72">
        <v>1</v>
      </c>
    </row>
    <row r="20" spans="1:14" x14ac:dyDescent="0.25">
      <c r="A20" s="13"/>
      <c r="B20" s="30" t="str">
        <f>IF(L24 = 0,"Energy","Energia")</f>
        <v>Energy</v>
      </c>
      <c r="C20" s="7">
        <f t="shared" si="6"/>
        <v>1</v>
      </c>
      <c r="D20" s="7"/>
      <c r="E20" s="7"/>
      <c r="F20" s="31" t="str">
        <f t="shared" si="7"/>
        <v>1d4</v>
      </c>
      <c r="H20" s="118"/>
      <c r="I20" s="118"/>
      <c r="K20" s="68"/>
      <c r="L20" s="69"/>
      <c r="M20" s="69"/>
      <c r="N20" s="73"/>
    </row>
    <row r="21" spans="1:14" x14ac:dyDescent="0.25">
      <c r="A21" s="13"/>
      <c r="B21" s="32" t="str">
        <f>IF(L24 = 0,"Entropy","Entropia")</f>
        <v>Entropy</v>
      </c>
      <c r="C21" s="6">
        <f t="shared" si="6"/>
        <v>6</v>
      </c>
      <c r="D21" s="6">
        <v>5</v>
      </c>
      <c r="E21" s="6"/>
      <c r="F21" s="33" t="str">
        <f t="shared" si="7"/>
        <v>2d6</v>
      </c>
      <c r="H21" s="118"/>
      <c r="I21" s="118"/>
      <c r="K21" s="138" t="str">
        <f>IF(L24 = 0, "Feat Points", "Pontos de Perícia")</f>
        <v>Feat Points</v>
      </c>
      <c r="L21" s="139"/>
      <c r="M21" s="139"/>
      <c r="N21" s="116">
        <v>0</v>
      </c>
    </row>
    <row r="22" spans="1:14" ht="15" customHeight="1" thickBot="1" x14ac:dyDescent="0.3">
      <c r="A22" s="13"/>
      <c r="B22" s="30" t="str">
        <f>IF(L24 = 0,"Influcence","Influência")</f>
        <v>Influcence</v>
      </c>
      <c r="C22" s="7">
        <f t="shared" si="6"/>
        <v>1</v>
      </c>
      <c r="D22" s="7"/>
      <c r="E22" s="7"/>
      <c r="F22" s="31" t="str">
        <f t="shared" si="7"/>
        <v>1d4</v>
      </c>
      <c r="H22" s="118"/>
      <c r="I22" s="118"/>
      <c r="K22" s="140"/>
      <c r="L22" s="141"/>
      <c r="M22" s="141"/>
      <c r="N22" s="117"/>
    </row>
    <row r="23" spans="1:14" ht="15" customHeight="1" thickBot="1" x14ac:dyDescent="0.3">
      <c r="A23" s="13"/>
      <c r="B23" s="32" t="str">
        <f>IF(L24 = 0,"Movement","Movimento")</f>
        <v>Movement</v>
      </c>
      <c r="C23" s="6">
        <f t="shared" si="6"/>
        <v>4</v>
      </c>
      <c r="D23" s="6">
        <v>3</v>
      </c>
      <c r="E23" s="6"/>
      <c r="F23" s="33" t="str">
        <f t="shared" si="7"/>
        <v>1d8</v>
      </c>
      <c r="H23" s="118"/>
      <c r="I23" s="118"/>
    </row>
    <row r="24" spans="1:14" ht="15" customHeight="1" x14ac:dyDescent="0.25">
      <c r="A24" s="13"/>
      <c r="B24" s="30" t="str">
        <f>IF(L24 = 0,"Prescience","Preciência")</f>
        <v>Prescience</v>
      </c>
      <c r="C24" s="7">
        <f t="shared" si="6"/>
        <v>4</v>
      </c>
      <c r="D24" s="7">
        <v>3</v>
      </c>
      <c r="E24" s="7"/>
      <c r="F24" s="31" t="str">
        <f>IF(D24 + E24 &lt;= 1, "1d4", IF(D24 + E24 = 2, "1d6", IF(D24 + E24 = 3, "1d8", IF(D24 + E24 = 4, "1d10", IF(D24 + E24 = 5, "2d6", IF(D24 + E24 = 6, "2d8", IF(D24 + E24 = 7, "2d10", IF(D24 + E24 = 8, "3d8", IF(D24 + E24 = 9, "3d10", IF(D24 + E24 = 10, "4d8", ))))))))))</f>
        <v>1d8</v>
      </c>
      <c r="H24" s="118"/>
      <c r="I24" s="118"/>
      <c r="K24" s="122" t="str">
        <f>IF(L24 = 0, "Language:", "Língua:")</f>
        <v>Language:</v>
      </c>
      <c r="L24" s="124">
        <v>0</v>
      </c>
      <c r="M24" s="124"/>
      <c r="N24" s="125"/>
    </row>
    <row r="25" spans="1:14" ht="15" customHeight="1" thickBot="1" x14ac:dyDescent="0.3">
      <c r="A25" s="13"/>
      <c r="B25" s="34" t="str">
        <f>IF(L24 = 0,"Protection","Proteção")</f>
        <v>Protection</v>
      </c>
      <c r="C25" s="35">
        <f t="shared" si="6"/>
        <v>5</v>
      </c>
      <c r="D25" s="35">
        <v>4</v>
      </c>
      <c r="E25" s="35"/>
      <c r="F25" s="36" t="str">
        <f t="shared" si="7"/>
        <v>1d10</v>
      </c>
      <c r="H25" s="118"/>
      <c r="I25" s="118"/>
      <c r="K25" s="123"/>
      <c r="L25" s="126"/>
      <c r="M25" s="126"/>
      <c r="N25" s="127"/>
    </row>
    <row r="26" spans="1:14" ht="16.5" thickTop="1" thickBot="1" x14ac:dyDescent="0.3">
      <c r="H26" s="118"/>
      <c r="I26" s="118"/>
      <c r="K26" s="41">
        <v>0</v>
      </c>
      <c r="L26" s="130" t="str">
        <f>IF(L24 = 0,"English","Inglês")</f>
        <v>English</v>
      </c>
      <c r="M26" s="130"/>
      <c r="N26" s="131"/>
    </row>
    <row r="27" spans="1:14" ht="15.75" thickBot="1" x14ac:dyDescent="0.3">
      <c r="B27" s="102" t="str">
        <f>IF(L24 = 0, "Defense Calculation", "Cálculo de Defesa")</f>
        <v>Defense Calculation</v>
      </c>
      <c r="C27" s="103"/>
      <c r="D27" s="103"/>
      <c r="E27" s="103"/>
      <c r="F27" s="104"/>
      <c r="H27" s="118"/>
      <c r="I27" s="118"/>
      <c r="K27" s="42">
        <v>1</v>
      </c>
      <c r="L27" s="128" t="str">
        <f>IF(L24 = 0,"Portuguese","Português")</f>
        <v>Portuguese</v>
      </c>
      <c r="M27" s="128"/>
      <c r="N27" s="129"/>
    </row>
    <row r="28" spans="1:14" ht="15.75" thickBot="1" x14ac:dyDescent="0.3">
      <c r="B28" s="105" t="str">
        <f>IF(L24 = 0, "Pre-Defense", "Antes da Defesa")</f>
        <v>Pre-Defense</v>
      </c>
      <c r="C28" s="106"/>
      <c r="D28" s="113" t="str">
        <f>IF(L24 = 0, "Post-Defense", "Pós-Defesa")</f>
        <v>Post-Defense</v>
      </c>
      <c r="E28" s="114"/>
      <c r="F28" s="115"/>
      <c r="H28" s="118"/>
      <c r="I28" s="118"/>
    </row>
    <row r="29" spans="1:14" ht="15.75" thickBot="1" x14ac:dyDescent="0.3">
      <c r="B29" s="107"/>
      <c r="C29" s="108"/>
      <c r="D29" s="108" t="str">
        <f>IF(B29 = "", "", IF(L14+N14 &lt; 0, B29 - (L12+N12), IF(ROUNDUP(B29 * 10/(L14+N14+10) - (L12+N12), 0) &gt;= 0, ROUNDUP(B29 * 10/(L14+N14+10) - (L12+N12), 0), 0)))</f>
        <v/>
      </c>
      <c r="E29" s="108"/>
      <c r="F29" s="111"/>
      <c r="H29" s="118"/>
      <c r="I29" s="118"/>
      <c r="K29" s="43" t="str">
        <f>IF(L24 = 0, "Size:", "Tamanho:")</f>
        <v>Size:</v>
      </c>
      <c r="L29" s="119">
        <v>4</v>
      </c>
      <c r="M29" s="120"/>
      <c r="N29" s="121"/>
    </row>
    <row r="30" spans="1:14" ht="15.75" thickBot="1" x14ac:dyDescent="0.3">
      <c r="B30" s="109"/>
      <c r="C30" s="110"/>
      <c r="D30" s="110"/>
      <c r="E30" s="110"/>
      <c r="F30" s="112"/>
      <c r="H30" s="118"/>
      <c r="I30" s="118"/>
    </row>
    <row r="32" spans="1:14" ht="48.75" customHeight="1" x14ac:dyDescent="0.25">
      <c r="H32" s="44" t="str">
        <f>IF(L24 = 0, "Skill / Perk / Feat", "Habilidade / Perícia")</f>
        <v>Skill / Perk / Feat</v>
      </c>
      <c r="I32" s="45" t="str">
        <f>IF(L24 = 0, "Description", "Descrição")</f>
        <v>Description</v>
      </c>
      <c r="J32" s="45" t="str">
        <f>IF(L24 = 0, "Attribute", "Atributo")</f>
        <v>Attribute</v>
      </c>
      <c r="K32" s="45" t="str">
        <f>IF(L24 = 0, "Cost", "Custo")</f>
        <v>Cost</v>
      </c>
    </row>
    <row r="33" spans="8:11" ht="60" x14ac:dyDescent="0.25">
      <c r="H33" s="51" t="s">
        <v>19</v>
      </c>
      <c r="I33" s="50" t="s">
        <v>23</v>
      </c>
      <c r="J33" s="49" t="str">
        <f>IF(L24 = 0,"Entropy","Entropia")</f>
        <v>Entropy</v>
      </c>
      <c r="K33" s="49" t="s">
        <v>21</v>
      </c>
    </row>
    <row r="34" spans="8:11" x14ac:dyDescent="0.25">
      <c r="H34" s="51" t="s">
        <v>7</v>
      </c>
      <c r="I34" s="50" t="s">
        <v>20</v>
      </c>
      <c r="J34" s="49" t="str">
        <f>IF(L24 = 0,"Movement","Movimento")</f>
        <v>Movement</v>
      </c>
      <c r="K34" s="49" t="s">
        <v>21</v>
      </c>
    </row>
    <row r="35" spans="8:11" ht="90" x14ac:dyDescent="0.25">
      <c r="H35" s="51" t="s">
        <v>8</v>
      </c>
      <c r="I35" s="50" t="s">
        <v>24</v>
      </c>
      <c r="J35" s="49" t="str">
        <f>IF(L24 = 0,"Prescience","Preciência")</f>
        <v>Prescience</v>
      </c>
      <c r="K35" s="49" t="s">
        <v>28</v>
      </c>
    </row>
    <row r="36" spans="8:11" ht="120" customHeight="1" x14ac:dyDescent="0.25">
      <c r="H36" s="51" t="s">
        <v>10</v>
      </c>
      <c r="I36" s="50" t="s">
        <v>29</v>
      </c>
      <c r="J36" s="49" t="str">
        <f>IF(L24 = 0,"Protection","Proteção")</f>
        <v>Protection</v>
      </c>
      <c r="K36" s="49" t="s">
        <v>17</v>
      </c>
    </row>
    <row r="37" spans="8:11" ht="60" x14ac:dyDescent="0.25">
      <c r="H37" s="51" t="s">
        <v>11</v>
      </c>
      <c r="I37" s="50" t="s">
        <v>26</v>
      </c>
      <c r="J37" s="55" t="s">
        <v>18</v>
      </c>
      <c r="K37" s="49" t="s">
        <v>17</v>
      </c>
    </row>
    <row r="38" spans="8:11" ht="30" x14ac:dyDescent="0.25">
      <c r="H38" s="51" t="s">
        <v>25</v>
      </c>
      <c r="I38" s="51" t="s">
        <v>27</v>
      </c>
      <c r="J38" s="55" t="s">
        <v>16</v>
      </c>
      <c r="K38" s="49" t="s">
        <v>16</v>
      </c>
    </row>
    <row r="39" spans="8:11" x14ac:dyDescent="0.25">
      <c r="H39" s="51"/>
      <c r="I39" s="50"/>
      <c r="J39" s="55"/>
      <c r="K39" s="49"/>
    </row>
  </sheetData>
  <mergeCells count="43">
    <mergeCell ref="N21:N22"/>
    <mergeCell ref="H4:I30"/>
    <mergeCell ref="L29:N29"/>
    <mergeCell ref="K24:K25"/>
    <mergeCell ref="L24:N25"/>
    <mergeCell ref="L27:N27"/>
    <mergeCell ref="L26:N26"/>
    <mergeCell ref="M9:M10"/>
    <mergeCell ref="N9:N10"/>
    <mergeCell ref="N12:N13"/>
    <mergeCell ref="K21:M22"/>
    <mergeCell ref="N17:N18"/>
    <mergeCell ref="L9:L10"/>
    <mergeCell ref="K9:K10"/>
    <mergeCell ref="K12:K13"/>
    <mergeCell ref="K4:K5"/>
    <mergeCell ref="B27:F27"/>
    <mergeCell ref="B28:C28"/>
    <mergeCell ref="B29:C30"/>
    <mergeCell ref="D29:F30"/>
    <mergeCell ref="D28:F28"/>
    <mergeCell ref="B2:F2"/>
    <mergeCell ref="B17:F17"/>
    <mergeCell ref="B13:F13"/>
    <mergeCell ref="B8:F8"/>
    <mergeCell ref="B4:F4"/>
    <mergeCell ref="P2:R3"/>
    <mergeCell ref="K2:K3"/>
    <mergeCell ref="L7:L8"/>
    <mergeCell ref="M7:M8"/>
    <mergeCell ref="N7:N8"/>
    <mergeCell ref="L2:N3"/>
    <mergeCell ref="L4:N5"/>
    <mergeCell ref="N14:N15"/>
    <mergeCell ref="M14:M15"/>
    <mergeCell ref="K7:K8"/>
    <mergeCell ref="K17:M18"/>
    <mergeCell ref="K19:M20"/>
    <mergeCell ref="K14:K15"/>
    <mergeCell ref="N19:N20"/>
    <mergeCell ref="L12:L13"/>
    <mergeCell ref="L14:L15"/>
    <mergeCell ref="M12:M1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51" r:id="rId4" name="XPPlus">
          <controlPr defaultSize="0" autoLine="0" r:id="rId5">
            <anchor moveWithCells="1" sizeWithCells="1">
              <from>
                <xdr:col>9</xdr:col>
                <xdr:colOff>333375</xdr:colOff>
                <xdr:row>1</xdr:row>
                <xdr:rowOff>38100</xdr:rowOff>
              </from>
              <to>
                <xdr:col>9</xdr:col>
                <xdr:colOff>695325</xdr:colOff>
                <xdr:row>2</xdr:row>
                <xdr:rowOff>152400</xdr:rowOff>
              </to>
            </anchor>
          </controlPr>
        </control>
      </mc:Choice>
      <mc:Fallback>
        <control shapeId="1051" r:id="rId4" name="XPPlus"/>
      </mc:Fallback>
    </mc:AlternateContent>
    <mc:AlternateContent xmlns:mc="http://schemas.openxmlformats.org/markup-compatibility/2006">
      <mc:Choice Requires="x14">
        <control shapeId="1026" r:id="rId6" name="Button 2">
          <controlPr defaultSize="0" print="0" autoFill="0" autoPict="0" macro="[0]!AgilityIncrease">
            <anchor moveWithCells="1" sizeWithCells="1">
              <from>
                <xdr:col>0</xdr:col>
                <xdr:colOff>419100</xdr:colOff>
                <xdr:row>4</xdr:row>
                <xdr:rowOff>19050</xdr:rowOff>
              </from>
              <to>
                <xdr:col>0</xdr:col>
                <xdr:colOff>590550</xdr:colOff>
                <xdr:row>4</xdr:row>
                <xdr:rowOff>190500</xdr:rowOff>
              </to>
            </anchor>
          </controlPr>
        </control>
      </mc:Choice>
    </mc:AlternateContent>
    <mc:AlternateContent xmlns:mc="http://schemas.openxmlformats.org/markup-compatibility/2006">
      <mc:Choice Requires="x14">
        <control shapeId="1031" r:id="rId7" name="Button 7">
          <controlPr defaultSize="0" print="0" autoFill="0" autoPict="0" macro="[0]!FortitudeIncrease">
            <anchor moveWithCells="1" sizeWithCells="1">
              <from>
                <xdr:col>0</xdr:col>
                <xdr:colOff>419100</xdr:colOff>
                <xdr:row>5</xdr:row>
                <xdr:rowOff>9525</xdr:rowOff>
              </from>
              <to>
                <xdr:col>0</xdr:col>
                <xdr:colOff>590550</xdr:colOff>
                <xdr:row>5</xdr:row>
                <xdr:rowOff>180975</xdr:rowOff>
              </to>
            </anchor>
          </controlPr>
        </control>
      </mc:Choice>
    </mc:AlternateContent>
    <mc:AlternateContent xmlns:mc="http://schemas.openxmlformats.org/markup-compatibility/2006">
      <mc:Choice Requires="x14">
        <control shapeId="1032" r:id="rId8" name="Button 8">
          <controlPr defaultSize="0" print="0" autoFill="0" autoPict="0" macro="[0]!MightIncrease">
            <anchor moveWithCells="1" sizeWithCells="1">
              <from>
                <xdr:col>0</xdr:col>
                <xdr:colOff>419100</xdr:colOff>
                <xdr:row>6</xdr:row>
                <xdr:rowOff>9525</xdr:rowOff>
              </from>
              <to>
                <xdr:col>0</xdr:col>
                <xdr:colOff>590550</xdr:colOff>
                <xdr:row>6</xdr:row>
                <xdr:rowOff>180975</xdr:rowOff>
              </to>
            </anchor>
          </controlPr>
        </control>
      </mc:Choice>
    </mc:AlternateContent>
    <mc:AlternateContent xmlns:mc="http://schemas.openxmlformats.org/markup-compatibility/2006">
      <mc:Choice Requires="x14">
        <control shapeId="1033" r:id="rId9" name="Button 9">
          <controlPr defaultSize="0" print="0" autoFill="0" autoPict="0" macro="[0]!LearnIncrease">
            <anchor moveWithCells="1" sizeWithCells="1">
              <from>
                <xdr:col>0</xdr:col>
                <xdr:colOff>419100</xdr:colOff>
                <xdr:row>8</xdr:row>
                <xdr:rowOff>19050</xdr:rowOff>
              </from>
              <to>
                <xdr:col>0</xdr:col>
                <xdr:colOff>590550</xdr:colOff>
                <xdr:row>8</xdr:row>
                <xdr:rowOff>190500</xdr:rowOff>
              </to>
            </anchor>
          </controlPr>
        </control>
      </mc:Choice>
    </mc:AlternateContent>
    <mc:AlternateContent xmlns:mc="http://schemas.openxmlformats.org/markup-compatibility/2006">
      <mc:Choice Requires="x14">
        <control shapeId="1034" r:id="rId10" name="Button 10">
          <controlPr defaultSize="0" print="0" autoFill="0" autoPict="0" macro="[0]!LogicIncrease">
            <anchor moveWithCells="1" sizeWithCells="1">
              <from>
                <xdr:col>0</xdr:col>
                <xdr:colOff>419100</xdr:colOff>
                <xdr:row>9</xdr:row>
                <xdr:rowOff>9525</xdr:rowOff>
              </from>
              <to>
                <xdr:col>0</xdr:col>
                <xdr:colOff>590550</xdr:colOff>
                <xdr:row>9</xdr:row>
                <xdr:rowOff>180975</xdr:rowOff>
              </to>
            </anchor>
          </controlPr>
        </control>
      </mc:Choice>
    </mc:AlternateContent>
    <mc:AlternateContent xmlns:mc="http://schemas.openxmlformats.org/markup-compatibility/2006">
      <mc:Choice Requires="x14">
        <control shapeId="1035" r:id="rId11" name="Button 11">
          <controlPr defaultSize="0" print="0" autoFill="0" autoPict="0" macro="[0]!PerceptionIncrease">
            <anchor moveWithCells="1" sizeWithCells="1">
              <from>
                <xdr:col>0</xdr:col>
                <xdr:colOff>419100</xdr:colOff>
                <xdr:row>10</xdr:row>
                <xdr:rowOff>9525</xdr:rowOff>
              </from>
              <to>
                <xdr:col>0</xdr:col>
                <xdr:colOff>590550</xdr:colOff>
                <xdr:row>10</xdr:row>
                <xdr:rowOff>180975</xdr:rowOff>
              </to>
            </anchor>
          </controlPr>
        </control>
      </mc:Choice>
    </mc:AlternateContent>
    <mc:AlternateContent xmlns:mc="http://schemas.openxmlformats.org/markup-compatibility/2006">
      <mc:Choice Requires="x14">
        <control shapeId="1036" r:id="rId12" name="Button 12">
          <controlPr defaultSize="0" print="0" autoFill="0" autoPict="0" macro="[0]!WillIncrease">
            <anchor moveWithCells="1" sizeWithCells="1">
              <from>
                <xdr:col>0</xdr:col>
                <xdr:colOff>419100</xdr:colOff>
                <xdr:row>11</xdr:row>
                <xdr:rowOff>9525</xdr:rowOff>
              </from>
              <to>
                <xdr:col>0</xdr:col>
                <xdr:colOff>590550</xdr:colOff>
                <xdr:row>11</xdr:row>
                <xdr:rowOff>180975</xdr:rowOff>
              </to>
            </anchor>
          </controlPr>
        </control>
      </mc:Choice>
    </mc:AlternateContent>
    <mc:AlternateContent xmlns:mc="http://schemas.openxmlformats.org/markup-compatibility/2006">
      <mc:Choice Requires="x14">
        <control shapeId="1039" r:id="rId13" name="Button 15">
          <controlPr defaultSize="0" print="0" autoFill="0" autoPict="0" macro="[0]!DeceptionIncrease">
            <anchor moveWithCells="1" sizeWithCells="1">
              <from>
                <xdr:col>0</xdr:col>
                <xdr:colOff>419100</xdr:colOff>
                <xdr:row>13</xdr:row>
                <xdr:rowOff>9525</xdr:rowOff>
              </from>
              <to>
                <xdr:col>0</xdr:col>
                <xdr:colOff>590550</xdr:colOff>
                <xdr:row>13</xdr:row>
                <xdr:rowOff>180975</xdr:rowOff>
              </to>
            </anchor>
          </controlPr>
        </control>
      </mc:Choice>
    </mc:AlternateContent>
    <mc:AlternateContent xmlns:mc="http://schemas.openxmlformats.org/markup-compatibility/2006">
      <mc:Choice Requires="x14">
        <control shapeId="1040" r:id="rId14" name="Button 16">
          <controlPr defaultSize="0" print="0" autoFill="0" autoPict="0" macro="[0]!PersuationIncrease">
            <anchor moveWithCells="1" sizeWithCells="1">
              <from>
                <xdr:col>0</xdr:col>
                <xdr:colOff>419100</xdr:colOff>
                <xdr:row>14</xdr:row>
                <xdr:rowOff>9525</xdr:rowOff>
              </from>
              <to>
                <xdr:col>0</xdr:col>
                <xdr:colOff>590550</xdr:colOff>
                <xdr:row>14</xdr:row>
                <xdr:rowOff>180975</xdr:rowOff>
              </to>
            </anchor>
          </controlPr>
        </control>
      </mc:Choice>
    </mc:AlternateContent>
    <mc:AlternateContent xmlns:mc="http://schemas.openxmlformats.org/markup-compatibility/2006">
      <mc:Choice Requires="x14">
        <control shapeId="1041" r:id="rId15" name="Button 17">
          <controlPr defaultSize="0" print="0" autoFill="0" autoPict="0" macro="[0]!PresenceIncrease">
            <anchor moveWithCells="1" sizeWithCells="1">
              <from>
                <xdr:col>0</xdr:col>
                <xdr:colOff>419100</xdr:colOff>
                <xdr:row>15</xdr:row>
                <xdr:rowOff>9525</xdr:rowOff>
              </from>
              <to>
                <xdr:col>0</xdr:col>
                <xdr:colOff>590550</xdr:colOff>
                <xdr:row>15</xdr:row>
                <xdr:rowOff>180975</xdr:rowOff>
              </to>
            </anchor>
          </controlPr>
        </control>
      </mc:Choice>
    </mc:AlternateContent>
    <mc:AlternateContent xmlns:mc="http://schemas.openxmlformats.org/markup-compatibility/2006">
      <mc:Choice Requires="x14">
        <control shapeId="1042" r:id="rId16" name="Button 18">
          <controlPr defaultSize="0" print="0" autoFill="0" autoPict="0" macro="[0]!AlterationIncrease">
            <anchor moveWithCells="1" sizeWithCells="1">
              <from>
                <xdr:col>0</xdr:col>
                <xdr:colOff>419100</xdr:colOff>
                <xdr:row>17</xdr:row>
                <xdr:rowOff>9525</xdr:rowOff>
              </from>
              <to>
                <xdr:col>0</xdr:col>
                <xdr:colOff>590550</xdr:colOff>
                <xdr:row>17</xdr:row>
                <xdr:rowOff>180975</xdr:rowOff>
              </to>
            </anchor>
          </controlPr>
        </control>
      </mc:Choice>
    </mc:AlternateContent>
    <mc:AlternateContent xmlns:mc="http://schemas.openxmlformats.org/markup-compatibility/2006">
      <mc:Choice Requires="x14">
        <control shapeId="1043" r:id="rId17" name="Button 19">
          <controlPr defaultSize="0" print="0" autoFill="0" autoPict="0" macro="[0]!CreationIncrease">
            <anchor moveWithCells="1" sizeWithCells="1">
              <from>
                <xdr:col>0</xdr:col>
                <xdr:colOff>419100</xdr:colOff>
                <xdr:row>18</xdr:row>
                <xdr:rowOff>9525</xdr:rowOff>
              </from>
              <to>
                <xdr:col>0</xdr:col>
                <xdr:colOff>590550</xdr:colOff>
                <xdr:row>18</xdr:row>
                <xdr:rowOff>180975</xdr:rowOff>
              </to>
            </anchor>
          </controlPr>
        </control>
      </mc:Choice>
    </mc:AlternateContent>
    <mc:AlternateContent xmlns:mc="http://schemas.openxmlformats.org/markup-compatibility/2006">
      <mc:Choice Requires="x14">
        <control shapeId="1044" r:id="rId18" name="Button 20">
          <controlPr defaultSize="0" print="0" autoFill="0" autoPict="0" macro="[0]!EnergyIncrease">
            <anchor moveWithCells="1" sizeWithCells="1">
              <from>
                <xdr:col>0</xdr:col>
                <xdr:colOff>419100</xdr:colOff>
                <xdr:row>19</xdr:row>
                <xdr:rowOff>9525</xdr:rowOff>
              </from>
              <to>
                <xdr:col>0</xdr:col>
                <xdr:colOff>590550</xdr:colOff>
                <xdr:row>19</xdr:row>
                <xdr:rowOff>180975</xdr:rowOff>
              </to>
            </anchor>
          </controlPr>
        </control>
      </mc:Choice>
    </mc:AlternateContent>
    <mc:AlternateContent xmlns:mc="http://schemas.openxmlformats.org/markup-compatibility/2006">
      <mc:Choice Requires="x14">
        <control shapeId="1045" r:id="rId19" name="Button 21">
          <controlPr defaultSize="0" print="0" autoFill="0" autoPict="0" macro="[0]!EntropyIncrease">
            <anchor moveWithCells="1" sizeWithCells="1">
              <from>
                <xdr:col>0</xdr:col>
                <xdr:colOff>419100</xdr:colOff>
                <xdr:row>20</xdr:row>
                <xdr:rowOff>9525</xdr:rowOff>
              </from>
              <to>
                <xdr:col>0</xdr:col>
                <xdr:colOff>590550</xdr:colOff>
                <xdr:row>20</xdr:row>
                <xdr:rowOff>180975</xdr:rowOff>
              </to>
            </anchor>
          </controlPr>
        </control>
      </mc:Choice>
    </mc:AlternateContent>
    <mc:AlternateContent xmlns:mc="http://schemas.openxmlformats.org/markup-compatibility/2006">
      <mc:Choice Requires="x14">
        <control shapeId="1046" r:id="rId20" name="Button 22">
          <controlPr defaultSize="0" print="0" autoFill="0" autoPict="0" macro="[0]!InfluenceIncrease">
            <anchor moveWithCells="1" sizeWithCells="1">
              <from>
                <xdr:col>0</xdr:col>
                <xdr:colOff>419100</xdr:colOff>
                <xdr:row>21</xdr:row>
                <xdr:rowOff>9525</xdr:rowOff>
              </from>
              <to>
                <xdr:col>0</xdr:col>
                <xdr:colOff>590550</xdr:colOff>
                <xdr:row>21</xdr:row>
                <xdr:rowOff>180975</xdr:rowOff>
              </to>
            </anchor>
          </controlPr>
        </control>
      </mc:Choice>
    </mc:AlternateContent>
    <mc:AlternateContent xmlns:mc="http://schemas.openxmlformats.org/markup-compatibility/2006">
      <mc:Choice Requires="x14">
        <control shapeId="1047" r:id="rId21" name="Button 23">
          <controlPr defaultSize="0" print="0" autoFill="0" autoPict="0" macro="[0]!MovementIncrease">
            <anchor moveWithCells="1" sizeWithCells="1">
              <from>
                <xdr:col>0</xdr:col>
                <xdr:colOff>419100</xdr:colOff>
                <xdr:row>22</xdr:row>
                <xdr:rowOff>9525</xdr:rowOff>
              </from>
              <to>
                <xdr:col>0</xdr:col>
                <xdr:colOff>590550</xdr:colOff>
                <xdr:row>22</xdr:row>
                <xdr:rowOff>180975</xdr:rowOff>
              </to>
            </anchor>
          </controlPr>
        </control>
      </mc:Choice>
    </mc:AlternateContent>
    <mc:AlternateContent xmlns:mc="http://schemas.openxmlformats.org/markup-compatibility/2006">
      <mc:Choice Requires="x14">
        <control shapeId="1048" r:id="rId22" name="Button 24">
          <controlPr defaultSize="0" print="0" autoFill="0" autoPict="0" macro="[0]!PrescienceIncrease">
            <anchor moveWithCells="1" sizeWithCells="1">
              <from>
                <xdr:col>0</xdr:col>
                <xdr:colOff>419100</xdr:colOff>
                <xdr:row>23</xdr:row>
                <xdr:rowOff>9525</xdr:rowOff>
              </from>
              <to>
                <xdr:col>0</xdr:col>
                <xdr:colOff>590550</xdr:colOff>
                <xdr:row>23</xdr:row>
                <xdr:rowOff>180975</xdr:rowOff>
              </to>
            </anchor>
          </controlPr>
        </control>
      </mc:Choice>
    </mc:AlternateContent>
    <mc:AlternateContent xmlns:mc="http://schemas.openxmlformats.org/markup-compatibility/2006">
      <mc:Choice Requires="x14">
        <control shapeId="1049" r:id="rId23" name="Button 25">
          <controlPr defaultSize="0" print="0" autoFill="0" autoPict="0" macro="[0]!ProtectionIncrease">
            <anchor moveWithCells="1" sizeWithCells="1">
              <from>
                <xdr:col>0</xdr:col>
                <xdr:colOff>419100</xdr:colOff>
                <xdr:row>24</xdr:row>
                <xdr:rowOff>9525</xdr:rowOff>
              </from>
              <to>
                <xdr:col>0</xdr:col>
                <xdr:colOff>590550</xdr:colOff>
                <xdr:row>24</xdr:row>
                <xdr:rowOff>180975</xdr:rowOff>
              </to>
            </anchor>
          </controlPr>
        </control>
      </mc:Choice>
    </mc:AlternateContent>
  </controls>
  <tableParts count="2">
    <tablePart r:id="rId24"/>
    <tablePart r:id="rId2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Ragan</dc:creator>
  <cp:lastModifiedBy>Ragan</cp:lastModifiedBy>
  <dcterms:created xsi:type="dcterms:W3CDTF">2018-01-26T14:39:37Z</dcterms:created>
  <dcterms:modified xsi:type="dcterms:W3CDTF">2018-02-13T19:15:39Z</dcterms:modified>
</cp:coreProperties>
</file>