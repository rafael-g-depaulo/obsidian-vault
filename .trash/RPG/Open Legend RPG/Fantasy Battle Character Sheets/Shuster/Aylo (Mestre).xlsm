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agan\Documents\stupid ideas\Fantasy Battle Character Sheets\Shuster\"/>
    </mc:Choice>
  </mc:AlternateContent>
  <bookViews>
    <workbookView xWindow="0" yWindow="0" windowWidth="28800" windowHeight="1255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1" l="1"/>
  <c r="F24" i="1"/>
  <c r="L14" i="1"/>
  <c r="L12" i="1" l="1"/>
  <c r="J36" i="1" l="1"/>
  <c r="J35" i="1"/>
  <c r="J34" i="1"/>
  <c r="J33" i="1"/>
  <c r="B17" i="1"/>
  <c r="M12" i="1" l="1"/>
  <c r="M14" i="1"/>
  <c r="D29" i="1" l="1"/>
  <c r="N7" i="1" l="1"/>
  <c r="F25" i="1"/>
  <c r="F23" i="1"/>
  <c r="F22" i="1"/>
  <c r="F21" i="1"/>
  <c r="F20" i="1"/>
  <c r="F19" i="1"/>
  <c r="F18" i="1"/>
  <c r="F16" i="1"/>
  <c r="F15" i="1"/>
  <c r="F14" i="1"/>
  <c r="F12" i="1"/>
  <c r="F11" i="1"/>
  <c r="F10" i="1"/>
  <c r="F9" i="1"/>
  <c r="F7" i="1"/>
  <c r="F6" i="1"/>
  <c r="F5" i="1"/>
  <c r="C5" i="1"/>
  <c r="C3" i="1"/>
  <c r="C11" i="1"/>
  <c r="D3" i="1"/>
  <c r="C25" i="1"/>
  <c r="C24" i="1"/>
  <c r="C23" i="1"/>
  <c r="C22" i="1"/>
  <c r="C21" i="1"/>
  <c r="C20" i="1"/>
  <c r="C19" i="1"/>
  <c r="C18" i="1"/>
  <c r="C16" i="1"/>
  <c r="C15" i="1"/>
  <c r="C14" i="1"/>
  <c r="C12" i="1"/>
  <c r="C10" i="1"/>
  <c r="C9" i="1"/>
  <c r="C7" i="1"/>
  <c r="C6" i="1"/>
  <c r="E3" i="1"/>
  <c r="B24" i="1" l="1"/>
  <c r="B23" i="1"/>
  <c r="B18" i="1"/>
  <c r="B20" i="1"/>
  <c r="J32" i="1"/>
  <c r="Q4" i="1" l="1"/>
  <c r="R4" i="1"/>
  <c r="P2" i="1"/>
  <c r="I32" i="1"/>
  <c r="K32" i="1"/>
  <c r="H32" i="1" l="1"/>
  <c r="K29" i="1"/>
  <c r="H2" i="1"/>
  <c r="B5" i="1"/>
  <c r="K21" i="1" l="1"/>
  <c r="K19" i="1"/>
  <c r="K17" i="1"/>
  <c r="D28" i="1"/>
  <c r="B28" i="1"/>
  <c r="B27" i="1"/>
  <c r="K12" i="1"/>
  <c r="K14" i="1"/>
  <c r="K24" i="1"/>
  <c r="F3" i="1"/>
  <c r="B3" i="1"/>
  <c r="L27" i="1"/>
  <c r="L26" i="1"/>
  <c r="B9" i="1"/>
  <c r="B25" i="1"/>
  <c r="B22" i="1"/>
  <c r="B21" i="1"/>
  <c r="B19" i="1"/>
  <c r="B16" i="1"/>
  <c r="B15" i="1"/>
  <c r="B14" i="1"/>
  <c r="B13" i="1"/>
  <c r="B12" i="1"/>
  <c r="B11" i="1"/>
  <c r="B10" i="1"/>
  <c r="B8" i="1"/>
  <c r="B7" i="1"/>
  <c r="B6" i="1"/>
  <c r="B4" i="1"/>
  <c r="B2" i="1"/>
</calcChain>
</file>

<file path=xl/sharedStrings.xml><?xml version="1.0" encoding="utf-8"?>
<sst xmlns="http://schemas.openxmlformats.org/spreadsheetml/2006/main" count="37" uniqueCount="31">
  <si>
    <t>/</t>
  </si>
  <si>
    <t>LEVEL</t>
  </si>
  <si>
    <t>XP</t>
  </si>
  <si>
    <t>HP:</t>
  </si>
  <si>
    <t>MANA:</t>
  </si>
  <si>
    <t>Qnt</t>
  </si>
  <si>
    <t xml:space="preserve"> </t>
  </si>
  <si>
    <t>Dash</t>
  </si>
  <si>
    <t>Signal Beam</t>
  </si>
  <si>
    <t>+1 Agility in damage calculation when performing a surprise attack. Disadvantage-1 during damage calculation otherwise. Uses Agility.</t>
  </si>
  <si>
    <t>Barrier</t>
  </si>
  <si>
    <t>Battlefield Opportunist</t>
  </si>
  <si>
    <t>Aylo Gwyn'Bleidd</t>
  </si>
  <si>
    <t>Throwing Knife</t>
  </si>
  <si>
    <t>Uses Agility.</t>
  </si>
  <si>
    <t>Short Sword</t>
  </si>
  <si>
    <t>-</t>
  </si>
  <si>
    <t>3 Mana</t>
  </si>
  <si>
    <t>Agility</t>
  </si>
  <si>
    <t>Physical Force</t>
  </si>
  <si>
    <t>Poison Blade</t>
  </si>
  <si>
    <t>4 Mana</t>
  </si>
  <si>
    <t>Dagger</t>
  </si>
  <si>
    <t>Stamina</t>
  </si>
  <si>
    <t>8 Mana</t>
  </si>
  <si>
    <t>Minor Action. 4 turns. Entropy vs Fortitude for poison. Entropy vs Will for stun. Damage: Entropy-3 each turn.</t>
  </si>
  <si>
    <t>Complete Action. Concentration CR 16. 50% of damage taken from Stamina. 50% Increased Stamina cost if used as reaction. Needs a Perception check if used as reaction.</t>
  </si>
  <si>
    <t>Immediate. Enemy getting aflicted with a Bane (Slows, Stuns, etc.), fleeing from battle or changing target after engagin in combat with Aylo. Aylo can attack them instantly.</t>
  </si>
  <si>
    <t>Passive. Mana is always 0. Can use Stamina instead of Mana for spells</t>
  </si>
  <si>
    <t>Major Action. Duration: 20min(6 turns). Range: 200m(40m in battle). Damage: Prescience-1. CR 18 for resistance (19 after aplied).</t>
  </si>
  <si>
    <t>Major Action. Can't be used before Movement Action.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</si>
</sst>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22"/>
      <color rgb="FF9C6500"/>
      <name val="Calibri"/>
      <family val="2"/>
      <scheme val="minor"/>
    </font>
    <font>
      <sz val="14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2"/>
      <color rgb="FF094718"/>
      <name val="Calibri"/>
      <family val="2"/>
      <scheme val="minor"/>
    </font>
    <font>
      <sz val="16"/>
      <color rgb="FF094718"/>
      <name val="Calibri"/>
      <family val="2"/>
      <scheme val="minor"/>
    </font>
    <font>
      <sz val="12"/>
      <color rgb="FF744006"/>
      <name val="Calibri"/>
      <family val="2"/>
      <scheme val="minor"/>
    </font>
    <font>
      <sz val="16"/>
      <color rgb="FF744006"/>
      <name val="Calibri"/>
      <family val="2"/>
      <scheme val="minor"/>
    </font>
    <font>
      <sz val="12"/>
      <color rgb="FF082F86"/>
      <name val="Calibri"/>
      <family val="2"/>
      <scheme val="minor"/>
    </font>
    <font>
      <sz val="16"/>
      <color rgb="FF082F86"/>
      <name val="Calibri"/>
      <family val="2"/>
      <scheme val="minor"/>
    </font>
    <font>
      <sz val="16"/>
      <color rgb="FF883406"/>
      <name val="Calibri"/>
      <family val="2"/>
      <scheme val="minor"/>
    </font>
    <font>
      <sz val="16"/>
      <color rgb="FF7E691C"/>
      <name val="Calibri"/>
      <family val="2"/>
      <scheme val="minor"/>
    </font>
    <font>
      <sz val="14"/>
      <color rgb="FF000000"/>
      <name val="Calibri"/>
      <family val="2"/>
    </font>
    <font>
      <sz val="12"/>
      <color theme="0"/>
      <name val="Calibri"/>
      <family val="2"/>
      <scheme val="minor"/>
    </font>
    <font>
      <sz val="26"/>
      <color rgb="FF88340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FE7550"/>
        <bgColor indexed="64"/>
      </patternFill>
    </fill>
    <fill>
      <patternFill patternType="solid">
        <fgColor rgb="FFFED562"/>
        <bgColor indexed="64"/>
      </patternFill>
    </fill>
    <fill>
      <patternFill patternType="solid">
        <fgColor rgb="FF55C9FD"/>
        <bgColor indexed="64"/>
      </patternFill>
    </fill>
    <fill>
      <patternFill patternType="solid">
        <fgColor rgb="FF23E50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5"/>
      </patternFill>
    </fill>
  </fills>
  <borders count="4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5" fillId="17" borderId="0" applyNumberFormat="0" applyBorder="0" applyAlignment="0" applyProtection="0"/>
    <xf numFmtId="0" fontId="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" fillId="30" borderId="0" applyNumberFormat="0" applyBorder="0" applyAlignment="0" applyProtection="0"/>
  </cellStyleXfs>
  <cellXfs count="152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1" fillId="11" borderId="0" xfId="10" applyBorder="1" applyAlignment="1">
      <alignment horizontal="center"/>
    </xf>
    <xf numFmtId="0" fontId="1" fillId="10" borderId="0" xfId="9" applyBorder="1" applyAlignment="1">
      <alignment horizontal="center"/>
    </xf>
    <xf numFmtId="0" fontId="1" fillId="11" borderId="9" xfId="10" applyBorder="1" applyAlignment="1">
      <alignment horizontal="center"/>
    </xf>
    <xf numFmtId="0" fontId="1" fillId="15" borderId="0" xfId="14" applyBorder="1" applyAlignment="1">
      <alignment horizontal="center"/>
    </xf>
    <xf numFmtId="0" fontId="1" fillId="16" borderId="0" xfId="15" applyBorder="1" applyAlignment="1">
      <alignment horizontal="center"/>
    </xf>
    <xf numFmtId="0" fontId="1" fillId="8" borderId="0" xfId="7" applyBorder="1" applyAlignment="1">
      <alignment horizontal="center"/>
    </xf>
    <xf numFmtId="0" fontId="1" fillId="7" borderId="0" xfId="6" applyBorder="1" applyAlignment="1">
      <alignment horizontal="center"/>
    </xf>
    <xf numFmtId="0" fontId="1" fillId="22" borderId="0" xfId="21" applyBorder="1" applyAlignment="1">
      <alignment horizontal="center"/>
    </xf>
    <xf numFmtId="0" fontId="1" fillId="22" borderId="9" xfId="21" applyBorder="1" applyAlignment="1">
      <alignment horizontal="center"/>
    </xf>
    <xf numFmtId="0" fontId="1" fillId="21" borderId="0" xfId="20" applyBorder="1" applyAlignment="1">
      <alignment horizontal="center"/>
    </xf>
    <xf numFmtId="0" fontId="0" fillId="0" borderId="18" xfId="0" applyBorder="1"/>
    <xf numFmtId="0" fontId="1" fillId="11" borderId="22" xfId="10" applyBorder="1"/>
    <xf numFmtId="0" fontId="1" fillId="11" borderId="18" xfId="10" applyBorder="1" applyAlignment="1">
      <alignment horizontal="center"/>
    </xf>
    <xf numFmtId="0" fontId="1" fillId="10" borderId="22" xfId="9" applyBorder="1"/>
    <xf numFmtId="0" fontId="1" fillId="10" borderId="18" xfId="9" applyBorder="1" applyAlignment="1">
      <alignment horizontal="center"/>
    </xf>
    <xf numFmtId="0" fontId="1" fillId="11" borderId="25" xfId="10" applyBorder="1"/>
    <xf numFmtId="0" fontId="1" fillId="11" borderId="26" xfId="10" applyBorder="1" applyAlignment="1">
      <alignment horizontal="center"/>
    </xf>
    <xf numFmtId="0" fontId="1" fillId="8" borderId="22" xfId="7" applyBorder="1"/>
    <xf numFmtId="0" fontId="1" fillId="8" borderId="18" xfId="7" applyBorder="1" applyAlignment="1">
      <alignment horizontal="center"/>
    </xf>
    <xf numFmtId="0" fontId="1" fillId="7" borderId="22" xfId="6" applyBorder="1"/>
    <xf numFmtId="0" fontId="1" fillId="7" borderId="18" xfId="6" applyBorder="1" applyAlignment="1">
      <alignment horizontal="center"/>
    </xf>
    <xf numFmtId="0" fontId="1" fillId="22" borderId="22" xfId="21" applyBorder="1"/>
    <xf numFmtId="0" fontId="1" fillId="22" borderId="18" xfId="21" applyBorder="1" applyAlignment="1">
      <alignment horizontal="center"/>
    </xf>
    <xf numFmtId="0" fontId="1" fillId="21" borderId="22" xfId="20" applyBorder="1"/>
    <xf numFmtId="0" fontId="1" fillId="21" borderId="18" xfId="20" applyBorder="1" applyAlignment="1">
      <alignment horizontal="center"/>
    </xf>
    <xf numFmtId="0" fontId="1" fillId="22" borderId="25" xfId="21" applyBorder="1"/>
    <xf numFmtId="0" fontId="1" fillId="22" borderId="26" xfId="21" applyBorder="1" applyAlignment="1">
      <alignment horizontal="center"/>
    </xf>
    <xf numFmtId="0" fontId="1" fillId="16" borderId="22" xfId="15" applyBorder="1"/>
    <xf numFmtId="0" fontId="1" fillId="16" borderId="18" xfId="15" applyBorder="1" applyAlignment="1">
      <alignment horizontal="center"/>
    </xf>
    <xf numFmtId="0" fontId="1" fillId="15" borderId="22" xfId="14" applyBorder="1"/>
    <xf numFmtId="0" fontId="1" fillId="15" borderId="18" xfId="14" applyBorder="1" applyAlignment="1">
      <alignment horizontal="center"/>
    </xf>
    <xf numFmtId="0" fontId="1" fillId="15" borderId="27" xfId="14" applyBorder="1"/>
    <xf numFmtId="0" fontId="1" fillId="15" borderId="28" xfId="14" applyBorder="1" applyAlignment="1">
      <alignment horizontal="center"/>
    </xf>
    <xf numFmtId="0" fontId="1" fillId="15" borderId="29" xfId="14" applyBorder="1" applyAlignment="1">
      <alignment horizontal="center"/>
    </xf>
    <xf numFmtId="0" fontId="5" fillId="13" borderId="22" xfId="12" applyBorder="1" applyAlignment="1">
      <alignment horizontal="center"/>
    </xf>
    <xf numFmtId="0" fontId="5" fillId="13" borderId="15" xfId="12" applyBorder="1" applyAlignment="1">
      <alignment horizontal="center"/>
    </xf>
    <xf numFmtId="0" fontId="5" fillId="13" borderId="18" xfId="12" applyBorder="1" applyAlignment="1">
      <alignment horizontal="center"/>
    </xf>
    <xf numFmtId="0" fontId="5" fillId="12" borderId="11" xfId="11" applyBorder="1"/>
    <xf numFmtId="0" fontId="0" fillId="5" borderId="31" xfId="4" applyFont="1" applyBorder="1" applyAlignment="1">
      <alignment horizontal="center"/>
    </xf>
    <xf numFmtId="0" fontId="0" fillId="5" borderId="32" xfId="4" applyFont="1" applyBorder="1" applyAlignment="1">
      <alignment horizontal="center"/>
    </xf>
    <xf numFmtId="0" fontId="4" fillId="4" borderId="33" xfId="3" applyBorder="1" applyAlignment="1">
      <alignment horizontal="center"/>
    </xf>
    <xf numFmtId="0" fontId="23" fillId="29" borderId="0" xfId="0" applyFont="1" applyFill="1" applyAlignment="1">
      <alignment horizontal="center" vertical="center" wrapText="1"/>
    </xf>
    <xf numFmtId="0" fontId="23" fillId="29" borderId="0" xfId="0" applyFont="1" applyFill="1" applyAlignment="1">
      <alignment horizontal="center" vertical="center"/>
    </xf>
    <xf numFmtId="0" fontId="5" fillId="12" borderId="44" xfId="11" applyBorder="1"/>
    <xf numFmtId="0" fontId="0" fillId="0" borderId="0" xfId="0" applyBorder="1"/>
    <xf numFmtId="0" fontId="5" fillId="30" borderId="0" xfId="22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NumberFormat="1" applyAlignment="1">
      <alignment horizontal="center" vertical="center" wrapText="1"/>
    </xf>
    <xf numFmtId="0" fontId="20" fillId="25" borderId="44" xfId="3" applyFont="1" applyFill="1" applyBorder="1" applyAlignment="1">
      <alignment horizontal="center" vertical="center"/>
    </xf>
    <xf numFmtId="0" fontId="24" fillId="25" borderId="43" xfId="3" applyFont="1" applyFill="1" applyBorder="1" applyAlignment="1">
      <alignment horizontal="center" vertical="center"/>
    </xf>
    <xf numFmtId="0" fontId="24" fillId="25" borderId="11" xfId="3" applyFont="1" applyFill="1" applyBorder="1" applyAlignment="1">
      <alignment horizontal="center" vertical="center"/>
    </xf>
    <xf numFmtId="0" fontId="19" fillId="27" borderId="7" xfId="0" applyFont="1" applyFill="1" applyBorder="1" applyAlignment="1">
      <alignment horizontal="center" vertical="center"/>
    </xf>
    <xf numFmtId="0" fontId="19" fillId="27" borderId="41" xfId="0" applyFont="1" applyFill="1" applyBorder="1" applyAlignment="1">
      <alignment horizontal="center" vertical="center"/>
    </xf>
    <xf numFmtId="0" fontId="17" fillId="26" borderId="7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  <xf numFmtId="0" fontId="18" fillId="27" borderId="6" xfId="0" applyFont="1" applyFill="1" applyBorder="1" applyAlignment="1">
      <alignment horizontal="center" vertical="center"/>
    </xf>
    <xf numFmtId="0" fontId="18" fillId="27" borderId="0" xfId="0" applyFont="1" applyFill="1" applyBorder="1" applyAlignment="1">
      <alignment horizontal="center" vertical="center"/>
    </xf>
    <xf numFmtId="0" fontId="18" fillId="27" borderId="40" xfId="0" applyFont="1" applyFill="1" applyBorder="1" applyAlignment="1">
      <alignment horizontal="center" vertical="center"/>
    </xf>
    <xf numFmtId="0" fontId="18" fillId="27" borderId="30" xfId="0" applyFont="1" applyFill="1" applyBorder="1" applyAlignment="1">
      <alignment horizontal="center" vertical="center"/>
    </xf>
    <xf numFmtId="0" fontId="13" fillId="24" borderId="45" xfId="3" applyFont="1" applyFill="1" applyBorder="1" applyAlignment="1">
      <alignment horizontal="center" vertical="center"/>
    </xf>
    <xf numFmtId="0" fontId="13" fillId="24" borderId="8" xfId="3" applyFont="1" applyFill="1" applyBorder="1" applyAlignment="1">
      <alignment horizontal="center" vertical="center"/>
    </xf>
    <xf numFmtId="0" fontId="20" fillId="25" borderId="4" xfId="3" applyFont="1" applyFill="1" applyBorder="1" applyAlignment="1">
      <alignment horizontal="center" vertical="center"/>
    </xf>
    <xf numFmtId="0" fontId="20" fillId="25" borderId="36" xfId="3" applyFont="1" applyFill="1" applyBorder="1" applyAlignment="1">
      <alignment horizontal="center" vertical="center"/>
    </xf>
    <xf numFmtId="0" fontId="21" fillId="24" borderId="38" xfId="3" applyFont="1" applyFill="1" applyBorder="1" applyAlignment="1">
      <alignment horizontal="center" vertical="center"/>
    </xf>
    <xf numFmtId="0" fontId="21" fillId="24" borderId="9" xfId="3" applyFont="1" applyFill="1" applyBorder="1" applyAlignment="1">
      <alignment horizontal="center" vertical="center"/>
    </xf>
    <xf numFmtId="0" fontId="15" fillId="28" borderId="5" xfId="0" applyFont="1" applyFill="1" applyBorder="1" applyAlignment="1">
      <alignment horizontal="center" vertical="center"/>
    </xf>
    <xf numFmtId="0" fontId="15" fillId="28" borderId="41" xfId="0" applyFont="1" applyFill="1" applyBorder="1" applyAlignment="1">
      <alignment horizontal="center" vertical="center"/>
    </xf>
    <xf numFmtId="0" fontId="10" fillId="23" borderId="4" xfId="1" applyFont="1" applyFill="1" applyBorder="1" applyAlignment="1">
      <alignment horizontal="center" vertical="center"/>
    </xf>
    <xf numFmtId="0" fontId="10" fillId="23" borderId="9" xfId="1" applyFont="1" applyFill="1" applyBorder="1" applyAlignment="1">
      <alignment horizontal="center" vertical="center"/>
    </xf>
    <xf numFmtId="0" fontId="10" fillId="23" borderId="3" xfId="1" applyFont="1" applyFill="1" applyBorder="1" applyAlignment="1">
      <alignment horizontal="center" vertical="center"/>
    </xf>
    <xf numFmtId="0" fontId="10" fillId="23" borderId="8" xfId="1" applyFont="1" applyFill="1" applyBorder="1" applyAlignment="1">
      <alignment horizontal="center" vertical="center"/>
    </xf>
    <xf numFmtId="0" fontId="12" fillId="25" borderId="3" xfId="3" applyFont="1" applyFill="1" applyBorder="1" applyAlignment="1">
      <alignment horizontal="center" vertical="center"/>
    </xf>
    <xf numFmtId="0" fontId="12" fillId="25" borderId="46" xfId="3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/>
    </xf>
    <xf numFmtId="0" fontId="14" fillId="28" borderId="4" xfId="0" applyFont="1" applyFill="1" applyBorder="1" applyAlignment="1">
      <alignment horizontal="center" vertical="center"/>
    </xf>
    <xf numFmtId="0" fontId="14" fillId="28" borderId="40" xfId="0" applyFont="1" applyFill="1" applyBorder="1" applyAlignment="1">
      <alignment horizontal="center" vertical="center"/>
    </xf>
    <xf numFmtId="0" fontId="14" fillId="28" borderId="30" xfId="0" applyFont="1" applyFill="1" applyBorder="1" applyAlignment="1">
      <alignment horizontal="center" vertical="center"/>
    </xf>
    <xf numFmtId="0" fontId="21" fillId="24" borderId="39" xfId="3" applyFont="1" applyFill="1" applyBorder="1" applyAlignment="1">
      <alignment horizontal="center" vertical="center"/>
    </xf>
    <xf numFmtId="0" fontId="21" fillId="24" borderId="10" xfId="3" applyFont="1" applyFill="1" applyBorder="1" applyAlignment="1">
      <alignment horizontal="center" vertical="center"/>
    </xf>
    <xf numFmtId="0" fontId="11" fillId="3" borderId="4" xfId="2" applyFont="1" applyBorder="1" applyAlignment="1">
      <alignment horizontal="center" vertical="center"/>
    </xf>
    <xf numFmtId="0" fontId="11" fillId="3" borderId="5" xfId="2" applyFont="1" applyBorder="1" applyAlignment="1">
      <alignment horizontal="center" vertical="center"/>
    </xf>
    <xf numFmtId="0" fontId="11" fillId="3" borderId="9" xfId="2" applyFont="1" applyBorder="1" applyAlignment="1">
      <alignment horizontal="center" vertical="center"/>
    </xf>
    <xf numFmtId="0" fontId="11" fillId="3" borderId="10" xfId="2" applyFont="1" applyBorder="1" applyAlignment="1">
      <alignment horizontal="center" vertical="center"/>
    </xf>
    <xf numFmtId="0" fontId="11" fillId="3" borderId="3" xfId="2" applyFont="1" applyBorder="1" applyAlignment="1">
      <alignment horizontal="center" vertical="center"/>
    </xf>
    <xf numFmtId="0" fontId="11" fillId="3" borderId="8" xfId="2" applyFont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8" xfId="1" applyFont="1" applyBorder="1" applyAlignment="1">
      <alignment horizontal="center" vertical="center"/>
    </xf>
    <xf numFmtId="0" fontId="5" fillId="20" borderId="0" xfId="19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9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10" xfId="1" applyFont="1" applyBorder="1" applyAlignment="1">
      <alignment horizontal="center" vertical="center"/>
    </xf>
    <xf numFmtId="0" fontId="5" fillId="12" borderId="19" xfId="11" applyBorder="1" applyAlignment="1">
      <alignment horizontal="center"/>
    </xf>
    <xf numFmtId="0" fontId="5" fillId="12" borderId="20" xfId="11" applyBorder="1" applyAlignment="1">
      <alignment horizontal="center"/>
    </xf>
    <xf numFmtId="0" fontId="5" fillId="12" borderId="21" xfId="11" applyBorder="1" applyAlignment="1">
      <alignment horizontal="center"/>
    </xf>
    <xf numFmtId="0" fontId="5" fillId="14" borderId="23" xfId="13" applyBorder="1" applyAlignment="1">
      <alignment horizontal="center"/>
    </xf>
    <xf numFmtId="0" fontId="5" fillId="14" borderId="12" xfId="13" applyBorder="1" applyAlignment="1">
      <alignment horizontal="center"/>
    </xf>
    <xf numFmtId="0" fontId="5" fillId="14" borderId="24" xfId="13" applyBorder="1" applyAlignment="1">
      <alignment horizontal="center"/>
    </xf>
    <xf numFmtId="0" fontId="5" fillId="20" borderId="23" xfId="19" applyBorder="1" applyAlignment="1">
      <alignment horizontal="center"/>
    </xf>
    <xf numFmtId="0" fontId="5" fillId="20" borderId="12" xfId="19" applyBorder="1" applyAlignment="1">
      <alignment horizontal="center"/>
    </xf>
    <xf numFmtId="0" fontId="5" fillId="20" borderId="24" xfId="19" applyBorder="1" applyAlignment="1">
      <alignment horizontal="center"/>
    </xf>
    <xf numFmtId="0" fontId="5" fillId="6" borderId="23" xfId="5" applyBorder="1" applyAlignment="1">
      <alignment horizontal="center"/>
    </xf>
    <xf numFmtId="0" fontId="5" fillId="6" borderId="12" xfId="5" applyBorder="1" applyAlignment="1">
      <alignment horizontal="center"/>
    </xf>
    <xf numFmtId="0" fontId="5" fillId="6" borderId="24" xfId="5" applyBorder="1" applyAlignment="1">
      <alignment horizontal="center"/>
    </xf>
    <xf numFmtId="0" fontId="5" fillId="9" borderId="23" xfId="8" applyBorder="1" applyAlignment="1">
      <alignment horizontal="center"/>
    </xf>
    <xf numFmtId="0" fontId="5" fillId="9" borderId="12" xfId="8" applyBorder="1" applyAlignment="1">
      <alignment horizontal="center"/>
    </xf>
    <xf numFmtId="0" fontId="5" fillId="9" borderId="24" xfId="8" applyBorder="1" applyAlignment="1">
      <alignment horizontal="center"/>
    </xf>
    <xf numFmtId="0" fontId="0" fillId="0" borderId="0" xfId="0" applyAlignment="1">
      <alignment horizontal="center"/>
    </xf>
    <xf numFmtId="0" fontId="24" fillId="25" borderId="43" xfId="3" applyFont="1" applyFill="1" applyBorder="1" applyAlignment="1">
      <alignment horizontal="center" vertical="center"/>
    </xf>
    <xf numFmtId="0" fontId="4" fillId="4" borderId="42" xfId="3" applyBorder="1" applyAlignment="1">
      <alignment horizontal="center"/>
    </xf>
    <xf numFmtId="0" fontId="4" fillId="4" borderId="43" xfId="3" applyBorder="1" applyAlignment="1">
      <alignment horizontal="center"/>
    </xf>
    <xf numFmtId="0" fontId="4" fillId="4" borderId="11" xfId="3" applyBorder="1" applyAlignment="1">
      <alignment horizontal="center"/>
    </xf>
    <xf numFmtId="0" fontId="7" fillId="5" borderId="31" xfId="4" applyFont="1" applyBorder="1" applyAlignment="1">
      <alignment horizontal="center" vertical="center" wrapText="1"/>
    </xf>
    <xf numFmtId="0" fontId="7" fillId="5" borderId="32" xfId="4" applyFont="1" applyBorder="1" applyAlignment="1">
      <alignment horizontal="center" vertical="center" wrapText="1"/>
    </xf>
    <xf numFmtId="0" fontId="5" fillId="17" borderId="14" xfId="16" applyBorder="1" applyAlignment="1">
      <alignment horizontal="center"/>
    </xf>
    <xf numFmtId="0" fontId="5" fillId="17" borderId="12" xfId="16" applyBorder="1" applyAlignment="1">
      <alignment horizontal="center"/>
    </xf>
    <xf numFmtId="0" fontId="5" fillId="17" borderId="13" xfId="16" applyBorder="1" applyAlignment="1">
      <alignment horizontal="center"/>
    </xf>
    <xf numFmtId="0" fontId="5" fillId="19" borderId="34" xfId="18" applyBorder="1" applyAlignment="1">
      <alignment horizontal="center"/>
    </xf>
    <xf numFmtId="0" fontId="5" fillId="19" borderId="17" xfId="18" applyBorder="1" applyAlignment="1">
      <alignment horizontal="center"/>
    </xf>
    <xf numFmtId="0" fontId="8" fillId="18" borderId="6" xfId="17" applyFont="1" applyBorder="1" applyAlignment="1">
      <alignment horizontal="center" vertical="center"/>
    </xf>
    <xf numFmtId="0" fontId="8" fillId="18" borderId="0" xfId="17" applyFont="1" applyBorder="1" applyAlignment="1">
      <alignment horizontal="center" vertical="center"/>
    </xf>
    <xf numFmtId="0" fontId="8" fillId="18" borderId="8" xfId="17" applyFont="1" applyBorder="1" applyAlignment="1">
      <alignment horizontal="center" vertical="center"/>
    </xf>
    <xf numFmtId="0" fontId="8" fillId="18" borderId="9" xfId="17" applyFont="1" applyBorder="1" applyAlignment="1">
      <alignment horizontal="center" vertical="center"/>
    </xf>
    <xf numFmtId="0" fontId="8" fillId="18" borderId="7" xfId="17" applyFont="1" applyBorder="1" applyAlignment="1">
      <alignment horizontal="center" vertical="center"/>
    </xf>
    <xf numFmtId="0" fontId="8" fillId="18" borderId="10" xfId="17" applyFont="1" applyBorder="1" applyAlignment="1">
      <alignment horizontal="center" vertical="center"/>
    </xf>
    <xf numFmtId="0" fontId="5" fillId="19" borderId="16" xfId="18" applyBorder="1" applyAlignment="1">
      <alignment horizontal="center"/>
    </xf>
    <xf numFmtId="0" fontId="5" fillId="19" borderId="47" xfId="18" applyBorder="1" applyAlignment="1">
      <alignment horizontal="center"/>
    </xf>
    <xf numFmtId="0" fontId="5" fillId="19" borderId="35" xfId="18" applyBorder="1" applyAlignment="1">
      <alignment horizontal="center"/>
    </xf>
    <xf numFmtId="0" fontId="6" fillId="5" borderId="4" xfId="4" applyFont="1" applyBorder="1" applyAlignment="1">
      <alignment horizontal="center" vertical="center"/>
    </xf>
    <xf numFmtId="0" fontId="6" fillId="5" borderId="5" xfId="4" applyFont="1" applyBorder="1" applyAlignment="1">
      <alignment horizontal="center" vertical="center"/>
    </xf>
    <xf numFmtId="0" fontId="6" fillId="5" borderId="0" xfId="4" applyFont="1" applyBorder="1" applyAlignment="1">
      <alignment horizontal="center" vertical="center"/>
    </xf>
    <xf numFmtId="0" fontId="6" fillId="5" borderId="7" xfId="4" applyFont="1" applyBorder="1" applyAlignment="1">
      <alignment horizontal="center" vertical="center"/>
    </xf>
    <xf numFmtId="0" fontId="0" fillId="5" borderId="9" xfId="4" applyFont="1" applyBorder="1" applyAlignment="1">
      <alignment horizontal="center"/>
    </xf>
    <xf numFmtId="0" fontId="0" fillId="5" borderId="10" xfId="4" applyFont="1" applyBorder="1" applyAlignment="1">
      <alignment horizontal="center"/>
    </xf>
    <xf numFmtId="0" fontId="0" fillId="5" borderId="4" xfId="4" applyFont="1" applyBorder="1" applyAlignment="1">
      <alignment horizontal="center"/>
    </xf>
    <xf numFmtId="0" fontId="0" fillId="5" borderId="5" xfId="4" applyFont="1" applyBorder="1" applyAlignment="1">
      <alignment horizontal="center"/>
    </xf>
    <xf numFmtId="0" fontId="10" fillId="23" borderId="5" xfId="1" applyFont="1" applyFill="1" applyBorder="1" applyAlignment="1">
      <alignment horizontal="center" vertical="center"/>
    </xf>
    <xf numFmtId="0" fontId="10" fillId="23" borderId="10" xfId="1" applyFont="1" applyFill="1" applyBorder="1" applyAlignment="1">
      <alignment horizontal="center" vertical="center"/>
    </xf>
    <xf numFmtId="0" fontId="20" fillId="25" borderId="5" xfId="3" applyFont="1" applyFill="1" applyBorder="1" applyAlignment="1">
      <alignment horizontal="center" vertical="center"/>
    </xf>
    <xf numFmtId="0" fontId="20" fillId="25" borderId="37" xfId="3" applyFont="1" applyFill="1" applyBorder="1" applyAlignment="1">
      <alignment horizontal="center" vertical="center"/>
    </xf>
    <xf numFmtId="0" fontId="16" fillId="26" borderId="6" xfId="0" applyFont="1" applyFill="1" applyBorder="1" applyAlignment="1">
      <alignment horizontal="center" vertical="center"/>
    </xf>
    <xf numFmtId="0" fontId="16" fillId="26" borderId="0" xfId="0" applyFont="1" applyFill="1" applyBorder="1" applyAlignment="1">
      <alignment horizontal="center" vertical="center"/>
    </xf>
    <xf numFmtId="0" fontId="16" fillId="26" borderId="8" xfId="0" applyFont="1" applyFill="1" applyBorder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</cellXfs>
  <cellStyles count="23">
    <cellStyle name="20% - Accent1" xfId="6" builtinId="30"/>
    <cellStyle name="20% - Accent2" xfId="9" builtinId="34"/>
    <cellStyle name="20% - Accent4" xfId="14" builtinId="42"/>
    <cellStyle name="20% - Accent5" xfId="17" builtinId="46"/>
    <cellStyle name="20% - Accent6" xfId="20" builtinId="50"/>
    <cellStyle name="40% - Accent1" xfId="7" builtinId="31"/>
    <cellStyle name="40% - Accent2" xfId="10" builtinId="35"/>
    <cellStyle name="40% - Accent4" xfId="15" builtinId="43"/>
    <cellStyle name="40% - Accent6" xfId="21" builtinId="51"/>
    <cellStyle name="60% - Accent3" xfId="12" builtinId="40"/>
    <cellStyle name="60% - Accent5" xfId="18" builtinId="48"/>
    <cellStyle name="60% - Accent6" xfId="22" builtinId="52"/>
    <cellStyle name="Accent1" xfId="5" builtinId="29"/>
    <cellStyle name="Accent2" xfId="8" builtinId="33"/>
    <cellStyle name="Accent3" xfId="11" builtinId="37"/>
    <cellStyle name="Accent4" xfId="13" builtinId="41"/>
    <cellStyle name="Accent5" xfId="16" builtinId="45"/>
    <cellStyle name="Accent6" xfId="19" builtinId="49"/>
    <cellStyle name="Bad" xfId="1" builtinId="27"/>
    <cellStyle name="Input" xfId="3" builtinId="20"/>
    <cellStyle name="Neutral" xfId="2" builtinId="28"/>
    <cellStyle name="Normal" xfId="0" builtinId="0"/>
    <cellStyle name="Note" xfId="4" builtinId="10"/>
  </cellStyles>
  <dxfs count="10"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082F86"/>
      <color rgb="FF55C9FD"/>
      <color rgb="FF744006"/>
      <color rgb="FFFED562"/>
      <color rgb="FF094718"/>
      <color rgb="FF0E6810"/>
      <color rgb="FF23E509"/>
      <color rgb="FF5BF362"/>
      <color rgb="FF11ED1B"/>
      <color rgb="FF32E4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4</xdr:row>
          <xdr:rowOff>19050</xdr:rowOff>
        </xdr:from>
        <xdr:to>
          <xdr:col>0</xdr:col>
          <xdr:colOff>590550</xdr:colOff>
          <xdr:row>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5</xdr:row>
          <xdr:rowOff>9525</xdr:rowOff>
        </xdr:from>
        <xdr:to>
          <xdr:col>0</xdr:col>
          <xdr:colOff>590550</xdr:colOff>
          <xdr:row>5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9525</xdr:rowOff>
        </xdr:from>
        <xdr:to>
          <xdr:col>0</xdr:col>
          <xdr:colOff>590550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8</xdr:row>
          <xdr:rowOff>19050</xdr:rowOff>
        </xdr:from>
        <xdr:to>
          <xdr:col>0</xdr:col>
          <xdr:colOff>590550</xdr:colOff>
          <xdr:row>8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9</xdr:row>
          <xdr:rowOff>9525</xdr:rowOff>
        </xdr:from>
        <xdr:to>
          <xdr:col>0</xdr:col>
          <xdr:colOff>590550</xdr:colOff>
          <xdr:row>9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10</xdr:row>
          <xdr:rowOff>9525</xdr:rowOff>
        </xdr:from>
        <xdr:to>
          <xdr:col>0</xdr:col>
          <xdr:colOff>590550</xdr:colOff>
          <xdr:row>10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11</xdr:row>
          <xdr:rowOff>9525</xdr:rowOff>
        </xdr:from>
        <xdr:to>
          <xdr:col>0</xdr:col>
          <xdr:colOff>590550</xdr:colOff>
          <xdr:row>11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9525</xdr:rowOff>
        </xdr:from>
        <xdr:to>
          <xdr:col>0</xdr:col>
          <xdr:colOff>590550</xdr:colOff>
          <xdr:row>13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14</xdr:row>
          <xdr:rowOff>9525</xdr:rowOff>
        </xdr:from>
        <xdr:to>
          <xdr:col>0</xdr:col>
          <xdr:colOff>590550</xdr:colOff>
          <xdr:row>14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9525</xdr:rowOff>
        </xdr:from>
        <xdr:to>
          <xdr:col>0</xdr:col>
          <xdr:colOff>590550</xdr:colOff>
          <xdr:row>15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17</xdr:row>
          <xdr:rowOff>9525</xdr:rowOff>
        </xdr:from>
        <xdr:to>
          <xdr:col>0</xdr:col>
          <xdr:colOff>590550</xdr:colOff>
          <xdr:row>17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9525</xdr:rowOff>
        </xdr:from>
        <xdr:to>
          <xdr:col>0</xdr:col>
          <xdr:colOff>590550</xdr:colOff>
          <xdr:row>18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19</xdr:row>
          <xdr:rowOff>9525</xdr:rowOff>
        </xdr:from>
        <xdr:to>
          <xdr:col>0</xdr:col>
          <xdr:colOff>590550</xdr:colOff>
          <xdr:row>19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20</xdr:row>
          <xdr:rowOff>9525</xdr:rowOff>
        </xdr:from>
        <xdr:to>
          <xdr:col>0</xdr:col>
          <xdr:colOff>590550</xdr:colOff>
          <xdr:row>20</xdr:row>
          <xdr:rowOff>180975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9525</xdr:rowOff>
        </xdr:from>
        <xdr:to>
          <xdr:col>0</xdr:col>
          <xdr:colOff>590550</xdr:colOff>
          <xdr:row>21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22</xdr:row>
          <xdr:rowOff>9525</xdr:rowOff>
        </xdr:from>
        <xdr:to>
          <xdr:col>0</xdr:col>
          <xdr:colOff>590550</xdr:colOff>
          <xdr:row>22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23</xdr:row>
          <xdr:rowOff>9525</xdr:rowOff>
        </xdr:from>
        <xdr:to>
          <xdr:col>0</xdr:col>
          <xdr:colOff>590550</xdr:colOff>
          <xdr:row>23</xdr:row>
          <xdr:rowOff>180975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24</xdr:row>
          <xdr:rowOff>9525</xdr:rowOff>
        </xdr:from>
        <xdr:to>
          <xdr:col>0</xdr:col>
          <xdr:colOff>590550</xdr:colOff>
          <xdr:row>24</xdr:row>
          <xdr:rowOff>180975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38100</xdr:rowOff>
        </xdr:from>
        <xdr:to>
          <xdr:col>9</xdr:col>
          <xdr:colOff>695325</xdr:colOff>
          <xdr:row>2</xdr:row>
          <xdr:rowOff>152400</xdr:rowOff>
        </xdr:to>
        <xdr:sp macro="" textlink="">
          <xdr:nvSpPr>
            <xdr:cNvPr id="1051" name="XPPlu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76201</xdr:colOff>
      <xdr:row>3</xdr:row>
      <xdr:rowOff>47625</xdr:rowOff>
    </xdr:from>
    <xdr:to>
      <xdr:col>8</xdr:col>
      <xdr:colOff>3238500</xdr:colOff>
      <xdr:row>31</xdr:row>
      <xdr:rowOff>294848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5676" y="638175"/>
          <a:ext cx="3924299" cy="566570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5" name="Table5" displayName="Table5" ref="H33:K38" headerRowCount="0" totalsRowShown="0" headerRowDxfId="9" dataDxfId="8">
  <tableColumns count="4">
    <tableColumn id="1" name="Column1" dataDxfId="7"/>
    <tableColumn id="2" name="Column2" dataDxfId="6"/>
    <tableColumn id="3" name="Column3" dataDxfId="5"/>
    <tableColumn id="4" name="Column4" headerRowDxfId="4" dataDxfId="3"/>
  </tableColumns>
  <tableStyleInfo name="TableStyleDark8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P5:R7" headerRowCount="0" totalsRowShown="0">
  <tableColumns count="3">
    <tableColumn id="1" name="Column1" dataDxfId="2"/>
    <tableColumn id="2" name="Column2" dataDxfId="1"/>
    <tableColumn id="3" name="Column3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24" Type="http://schemas.openxmlformats.org/officeDocument/2006/relationships/table" Target="../tables/table1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9"/>
  <sheetViews>
    <sheetView showGridLines="0" tabSelected="1" topLeftCell="A7" zoomScale="115" zoomScaleNormal="115" workbookViewId="0">
      <selection activeCell="L11" sqref="L11"/>
    </sheetView>
  </sheetViews>
  <sheetFormatPr defaultRowHeight="15" x14ac:dyDescent="0.25"/>
  <cols>
    <col min="1" max="1" width="9.140625" customWidth="1"/>
    <col min="2" max="2" width="10.7109375" bestFit="1" customWidth="1"/>
    <col min="3" max="3" width="5.85546875" customWidth="1"/>
    <col min="4" max="4" width="6.140625" customWidth="1"/>
    <col min="5" max="5" width="5.5703125" customWidth="1"/>
    <col min="6" max="6" width="10.85546875" customWidth="1"/>
    <col min="7" max="7" width="3" customWidth="1"/>
    <col min="8" max="8" width="11.42578125" customWidth="1"/>
    <col min="9" max="9" width="62.42578125" customWidth="1"/>
    <col min="10" max="10" width="11.28515625" bestFit="1" customWidth="1"/>
    <col min="11" max="11" width="10.85546875" customWidth="1"/>
    <col min="12" max="12" width="8" customWidth="1"/>
    <col min="13" max="13" width="1.85546875" customWidth="1"/>
    <col min="14" max="14" width="6" bestFit="1" customWidth="1"/>
    <col min="15" max="15" width="2.5703125" customWidth="1"/>
    <col min="16" max="16" width="10.140625" customWidth="1"/>
    <col min="17" max="17" width="15.7109375" customWidth="1"/>
    <col min="18" max="18" width="117.85546875" customWidth="1"/>
    <col min="19" max="19" width="10.5703125" customWidth="1"/>
    <col min="20" max="21" width="11.7109375" customWidth="1"/>
  </cols>
  <sheetData>
    <row r="1" spans="1:18" ht="15.75" thickBot="1" x14ac:dyDescent="0.3"/>
    <row r="2" spans="1:18" ht="15" customHeight="1" thickTop="1" thickBot="1" x14ac:dyDescent="0.3">
      <c r="A2" s="13"/>
      <c r="B2" s="100" t="str">
        <f>IF(L24 = 0,"Attributes","Atributos")</f>
        <v>Attributes</v>
      </c>
      <c r="C2" s="101"/>
      <c r="D2" s="101"/>
      <c r="E2" s="101"/>
      <c r="F2" s="102"/>
      <c r="H2" s="46" t="str">
        <f>IF(L24 = 0, "Name:", "Nome:")</f>
        <v>Name:</v>
      </c>
      <c r="I2" s="40" t="s">
        <v>12</v>
      </c>
      <c r="K2" s="91" t="s">
        <v>2</v>
      </c>
      <c r="L2" s="87">
        <v>0</v>
      </c>
      <c r="M2" s="87"/>
      <c r="N2" s="88"/>
      <c r="P2" s="95" t="str">
        <f>IF(L24=0,"Inventory", "Inventário")</f>
        <v>Inventory</v>
      </c>
      <c r="Q2" s="95"/>
      <c r="R2" s="95"/>
    </row>
    <row r="3" spans="1:18" ht="15.75" customHeight="1" thickBot="1" x14ac:dyDescent="0.3">
      <c r="A3" s="13"/>
      <c r="B3" s="37" t="str">
        <f>IF(L24 = 0,"Name","Nome")</f>
        <v>Name</v>
      </c>
      <c r="C3" s="38" t="str">
        <f>IF(L24 = 0,"Cost","Custo")</f>
        <v>Cost</v>
      </c>
      <c r="D3" s="38" t="str">
        <f>IF(L24 = 0,"Score","Valor")</f>
        <v>Score</v>
      </c>
      <c r="E3" s="38" t="str">
        <f>IF(L24=0, "Bonus", "Bonus")</f>
        <v>Bonus</v>
      </c>
      <c r="F3" s="39" t="str">
        <f>IF(L24 = 0,"Dice","Dado")</f>
        <v>Dice</v>
      </c>
      <c r="H3" s="47"/>
      <c r="K3" s="92"/>
      <c r="L3" s="89"/>
      <c r="M3" s="89"/>
      <c r="N3" s="90"/>
      <c r="O3" s="2"/>
      <c r="P3" s="95"/>
      <c r="Q3" s="95"/>
      <c r="R3" s="95"/>
    </row>
    <row r="4" spans="1:18" ht="15" customHeight="1" x14ac:dyDescent="0.25">
      <c r="A4" s="13"/>
      <c r="B4" s="112" t="str">
        <f>IF(L24 = 0,"Physical","Físicos")</f>
        <v>Physical</v>
      </c>
      <c r="C4" s="113"/>
      <c r="D4" s="113"/>
      <c r="E4" s="113"/>
      <c r="F4" s="114"/>
      <c r="H4" s="115" t="s">
        <v>6</v>
      </c>
      <c r="I4" s="115"/>
      <c r="K4" s="91" t="s">
        <v>1</v>
      </c>
      <c r="L4" s="87">
        <v>4</v>
      </c>
      <c r="M4" s="87"/>
      <c r="N4" s="88"/>
      <c r="P4" s="48" t="s">
        <v>5</v>
      </c>
      <c r="Q4" s="48" t="str">
        <f>IF(L24 = 0, "Item", "Item")</f>
        <v>Item</v>
      </c>
      <c r="R4" s="48" t="str">
        <f>IF(L24 = 0, "Description", "Descrição")</f>
        <v>Description</v>
      </c>
    </row>
    <row r="5" spans="1:18" ht="15.75" customHeight="1" thickBot="1" x14ac:dyDescent="0.3">
      <c r="A5" s="13"/>
      <c r="B5" s="14" t="str">
        <f>IF(L24 = 0,"Agility","Agilidade")</f>
        <v>Agility</v>
      </c>
      <c r="C5" s="3">
        <f>IFERROR(_xlfn.NUMBERVALUE(D5), 0) + 1</f>
        <v>7</v>
      </c>
      <c r="D5" s="3">
        <v>6</v>
      </c>
      <c r="E5" s="3"/>
      <c r="F5" s="15" t="str">
        <f>IF(D5 + E5 &lt;= 1, "1d4", IF(D5 + E5 = 2, "1d6", IF(D5 + E5 = 3, "1d8", IF(D5 + E5 = 4, "1d10", IF(D5 + E5 = 5, "2d6", IF(D5 + E5 = 6, "2d8", IF(D5 + E5 = 7, "2d10", IF(D5 + E5 = 8, "3d8", IF(D5 + E5 = 9, "3d10", IF(D5 + E5 = 10, "4d8", ))))))))))</f>
        <v>2d8</v>
      </c>
      <c r="H5" s="115"/>
      <c r="I5" s="115"/>
      <c r="K5" s="92"/>
      <c r="L5" s="89"/>
      <c r="M5" s="89"/>
      <c r="N5" s="90"/>
      <c r="P5" s="52">
        <v>1</v>
      </c>
      <c r="Q5" s="52" t="s">
        <v>15</v>
      </c>
      <c r="R5" s="53" t="s">
        <v>14</v>
      </c>
    </row>
    <row r="6" spans="1:18" ht="15" customHeight="1" thickBot="1" x14ac:dyDescent="0.3">
      <c r="A6" s="13"/>
      <c r="B6" s="16" t="str">
        <f>IF(L24 = 0,"Fortitude","Fortitude")</f>
        <v>Fortitude</v>
      </c>
      <c r="C6" s="4">
        <f t="shared" ref="C6:C7" si="0">IFERROR(_xlfn.NUMBERVALUE(D6), 0) + 1</f>
        <v>5</v>
      </c>
      <c r="D6" s="4">
        <v>4</v>
      </c>
      <c r="E6" s="4"/>
      <c r="F6" s="17" t="str">
        <f t="shared" ref="F6:F7" si="1">IF(D6 + E6 &lt;= 1, "1d4", IF(D6 + E6 = 2, "1d6", IF(D6 + E6 = 3, "1d8", IF(D6 + E6 = 4, "1d10", IF(D6 + E6 = 5, "2d6", IF(D6 + E6 = 6, "2d8", IF(D6 + E6 = 7, "2d10", IF(D6 + E6 = 8, "3d8", IF(D6 + E6 = 9, "3d10", IF(D6 + E6 = 10, "4d8", ))))))))))</f>
        <v>1d10</v>
      </c>
      <c r="H6" s="115"/>
      <c r="I6" s="115"/>
      <c r="L6" s="1"/>
      <c r="M6" s="1"/>
      <c r="N6" s="1"/>
      <c r="P6" s="52">
        <v>3</v>
      </c>
      <c r="Q6" s="52" t="s">
        <v>13</v>
      </c>
      <c r="R6" s="53" t="s">
        <v>14</v>
      </c>
    </row>
    <row r="7" spans="1:18" ht="15" customHeight="1" thickBot="1" x14ac:dyDescent="0.3">
      <c r="A7" s="13"/>
      <c r="B7" s="18" t="str">
        <f>IF(L24 = 0,"Might","Força")</f>
        <v>Might</v>
      </c>
      <c r="C7" s="3">
        <f t="shared" si="0"/>
        <v>2</v>
      </c>
      <c r="D7" s="5">
        <v>1</v>
      </c>
      <c r="E7" s="5"/>
      <c r="F7" s="19" t="str">
        <f t="shared" si="1"/>
        <v>1d4</v>
      </c>
      <c r="H7" s="115"/>
      <c r="I7" s="115"/>
      <c r="K7" s="93" t="s">
        <v>3</v>
      </c>
      <c r="L7" s="96">
        <v>27</v>
      </c>
      <c r="M7" s="96" t="s">
        <v>0</v>
      </c>
      <c r="N7" s="98">
        <f xml:space="preserve"> 10 + 2*(D6+E6) + 2*(D16+E16) + D12+E12 + _xlfn.FLOOR.MATH(1.5*(D7+E7)) + 2 * L4</f>
        <v>27</v>
      </c>
      <c r="P7" s="52">
        <v>1</v>
      </c>
      <c r="Q7" s="52" t="s">
        <v>22</v>
      </c>
      <c r="R7" s="54" t="s">
        <v>9</v>
      </c>
    </row>
    <row r="8" spans="1:18" ht="15" customHeight="1" thickBot="1" x14ac:dyDescent="0.3">
      <c r="A8" s="13"/>
      <c r="B8" s="109" t="str">
        <f>IF(L24 = 0,"Mental","Mentais")</f>
        <v>Mental</v>
      </c>
      <c r="C8" s="110"/>
      <c r="D8" s="110"/>
      <c r="E8" s="110"/>
      <c r="F8" s="111"/>
      <c r="H8" s="115"/>
      <c r="I8" s="115"/>
      <c r="K8" s="94"/>
      <c r="L8" s="97"/>
      <c r="M8" s="97"/>
      <c r="N8" s="99"/>
    </row>
    <row r="9" spans="1:18" ht="15.75" customHeight="1" x14ac:dyDescent="0.25">
      <c r="A9" s="13"/>
      <c r="B9" s="20" t="str">
        <f>IF(L24 = 0,"Learning","Aprendizado")</f>
        <v>Learning</v>
      </c>
      <c r="C9" s="8">
        <f t="shared" ref="C9:C12" si="2">IFERROR(_xlfn.NUMBERVALUE(D9), 0) + 1</f>
        <v>1</v>
      </c>
      <c r="D9" s="8"/>
      <c r="E9" s="8"/>
      <c r="F9" s="21" t="str">
        <f t="shared" ref="F9:F12" si="3">IF(D9 + E9 &lt;= 1, "1d4", IF(D9 + E9 = 2, "1d6", IF(D9 + E9 = 3, "1d8", IF(D9 + E9 = 4, "1d10", IF(D9 + E9 = 5, "2d6", IF(D9 + E9 = 6, "2d8", IF(D9 + E9 = 7, "2d10", IF(D9 + E9 = 8, "3d8", IF(D9 + E9 = 9, "3d10", IF(D9 + E9 = 10, "4d8", ))))))))))</f>
        <v>1d4</v>
      </c>
      <c r="H9" s="115"/>
      <c r="I9" s="115"/>
      <c r="K9" s="77" t="s">
        <v>4</v>
      </c>
      <c r="L9" s="75">
        <v>0</v>
      </c>
      <c r="M9" s="75" t="s">
        <v>0</v>
      </c>
      <c r="N9" s="144">
        <v>0</v>
      </c>
    </row>
    <row r="10" spans="1:18" ht="15" customHeight="1" thickBot="1" x14ac:dyDescent="0.3">
      <c r="A10" s="13"/>
      <c r="B10" s="22" t="str">
        <f>IF(L24 = 0,"Logic","Lógica")</f>
        <v>Logic</v>
      </c>
      <c r="C10" s="9">
        <f t="shared" si="2"/>
        <v>1</v>
      </c>
      <c r="D10" s="9"/>
      <c r="E10" s="9"/>
      <c r="F10" s="23" t="str">
        <f t="shared" si="3"/>
        <v>1d4</v>
      </c>
      <c r="H10" s="115"/>
      <c r="I10" s="115"/>
      <c r="K10" s="78"/>
      <c r="L10" s="76"/>
      <c r="M10" s="76"/>
      <c r="N10" s="145"/>
    </row>
    <row r="11" spans="1:18" ht="15" customHeight="1" thickBot="1" x14ac:dyDescent="0.3">
      <c r="A11" s="13"/>
      <c r="B11" s="20" t="str">
        <f>IF(L24 = 0,"Perception","Percepção")</f>
        <v>Perception</v>
      </c>
      <c r="C11" s="8">
        <f>IFERROR(_xlfn.NUMBERVALUE(D11), 0) + 1</f>
        <v>4</v>
      </c>
      <c r="D11" s="8">
        <v>3</v>
      </c>
      <c r="E11" s="8"/>
      <c r="F11" s="21" t="str">
        <f t="shared" si="3"/>
        <v>1d8</v>
      </c>
      <c r="H11" s="115"/>
      <c r="I11" s="115"/>
    </row>
    <row r="12" spans="1:18" ht="15" customHeight="1" thickBot="1" x14ac:dyDescent="0.3">
      <c r="A12" s="13"/>
      <c r="B12" s="22" t="str">
        <f>IF(L24 = 0,"Will","Vontade")</f>
        <v>Will</v>
      </c>
      <c r="C12" s="9">
        <f t="shared" si="2"/>
        <v>1</v>
      </c>
      <c r="D12" s="9"/>
      <c r="E12" s="9"/>
      <c r="F12" s="23" t="str">
        <f t="shared" si="3"/>
        <v>1d4</v>
      </c>
      <c r="H12" s="115"/>
      <c r="I12" s="115"/>
      <c r="K12" s="79" t="str">
        <f>IF(L24 = 0, "GUARD", "GUARD")</f>
        <v>GUARD</v>
      </c>
      <c r="L12" s="69">
        <f>IF(OR(1.5*(D7 + E7) &lt; D5 + E5, IFERROR(_xlfn.NUMBERVALUE(L29), 0) = 0), 0, _xlfn.FLOOR.MATH(1.25*D7 + 1.25*E7 + 1*D6 + 1*E6 + 1.5*D25 + 1.5*E25 + (L29-5)*0.5))</f>
        <v>0</v>
      </c>
      <c r="M12" s="69" t="str">
        <f>IF(N12 &gt; 0, "+", "")</f>
        <v/>
      </c>
      <c r="N12" s="146"/>
    </row>
    <row r="13" spans="1:18" ht="15" customHeight="1" x14ac:dyDescent="0.25">
      <c r="A13" s="13"/>
      <c r="B13" s="106" t="str">
        <f>IF(L24 = 0,"Social","Sociais")</f>
        <v>Social</v>
      </c>
      <c r="C13" s="107"/>
      <c r="D13" s="107"/>
      <c r="E13" s="107"/>
      <c r="F13" s="108"/>
      <c r="H13" s="115"/>
      <c r="I13" s="115"/>
      <c r="K13" s="80"/>
      <c r="L13" s="70"/>
      <c r="M13" s="70"/>
      <c r="N13" s="147"/>
    </row>
    <row r="14" spans="1:18" ht="15" customHeight="1" x14ac:dyDescent="0.25">
      <c r="A14" s="13"/>
      <c r="B14" s="24" t="str">
        <f>IF(L24 = 0,"Deception","Enganação")</f>
        <v>Deception</v>
      </c>
      <c r="C14" s="10">
        <f t="shared" ref="C14:C16" si="4">IFERROR(_xlfn.NUMBERVALUE(D14), 0) + 1</f>
        <v>1</v>
      </c>
      <c r="D14" s="10"/>
      <c r="E14" s="10"/>
      <c r="F14" s="25" t="str">
        <f t="shared" ref="F14:F16" si="5">IF(D14 + E14 &lt;= 1, "1d4", IF(D14 + E14 = 2, "1d6", IF(D14 + E14 = 3, "1d8", IF(D14 + E14 = 4, "1d10", IF(D14 + E14 = 5, "2d6", IF(D14 + E14 = 6, "2d8", IF(D14 + E14 = 7, "2d10", IF(D14 + E14 = 8, "3d8", IF(D14 + E14 = 9, "3d10", IF(D14 + E14 = 10, "4d8", ))))))))))</f>
        <v>1d4</v>
      </c>
      <c r="H14" s="115"/>
      <c r="I14" s="115"/>
      <c r="K14" s="67" t="str">
        <f>IF(L24 = 0, "DODGE", "EVASÃO")</f>
        <v>DODGE</v>
      </c>
      <c r="L14" s="71">
        <f>IF(OR(D7 + E7&gt;1.5*(D5 + E5), IFERROR(_xlfn.NUMBERVALUE(L29), 0) = 0), 0, ROUND(0.75*(D5 + E5) + 0.5*(D11 + E11) - 0.5*(D7 + E7) - 0.5*(L29 - 5), 0))</f>
        <v>6</v>
      </c>
      <c r="M14" s="71" t="str">
        <f>IF(N14 &gt; 0, "+", "")</f>
        <v/>
      </c>
      <c r="N14" s="85"/>
    </row>
    <row r="15" spans="1:18" ht="15" customHeight="1" thickBot="1" x14ac:dyDescent="0.3">
      <c r="A15" s="13"/>
      <c r="B15" s="26" t="str">
        <f>IF(L24 = 0,"Persuation","Persuasão")</f>
        <v>Persuation</v>
      </c>
      <c r="C15" s="12">
        <f t="shared" si="4"/>
        <v>1</v>
      </c>
      <c r="D15" s="12"/>
      <c r="E15" s="12"/>
      <c r="F15" s="27" t="str">
        <f t="shared" si="5"/>
        <v>1d4</v>
      </c>
      <c r="H15" s="115"/>
      <c r="I15" s="115"/>
      <c r="K15" s="68"/>
      <c r="L15" s="72"/>
      <c r="M15" s="72"/>
      <c r="N15" s="86"/>
    </row>
    <row r="16" spans="1:18" ht="15" customHeight="1" thickBot="1" x14ac:dyDescent="0.3">
      <c r="A16" s="13"/>
      <c r="B16" s="28" t="str">
        <f>IF(L24 = 0,"Presence","Presença")</f>
        <v>Presence</v>
      </c>
      <c r="C16" s="11">
        <f t="shared" si="4"/>
        <v>1</v>
      </c>
      <c r="D16" s="11"/>
      <c r="E16" s="11"/>
      <c r="F16" s="29" t="str">
        <f t="shared" si="5"/>
        <v>1d4</v>
      </c>
      <c r="H16" s="115"/>
      <c r="I16" s="115"/>
    </row>
    <row r="17" spans="1:14" ht="15" customHeight="1" x14ac:dyDescent="0.25">
      <c r="A17" s="13"/>
      <c r="B17" s="103" t="str">
        <f>IF(L24 = 0,"Extraordinary","Extraordinários")</f>
        <v>Extraordinary</v>
      </c>
      <c r="C17" s="104"/>
      <c r="D17" s="104"/>
      <c r="E17" s="104"/>
      <c r="F17" s="105"/>
      <c r="H17" s="115"/>
      <c r="I17" s="115"/>
      <c r="K17" s="81" t="str">
        <f>IF(L24 = 0, "Skill Points", "Pontos de Habilidade")</f>
        <v>Skill Points</v>
      </c>
      <c r="L17" s="82"/>
      <c r="M17" s="82"/>
      <c r="N17" s="73">
        <v>0</v>
      </c>
    </row>
    <row r="18" spans="1:14" x14ac:dyDescent="0.25">
      <c r="A18" s="13"/>
      <c r="B18" s="30" t="str">
        <f>IF(L24 = 0,"Alteration","Alteração")</f>
        <v>Alteration</v>
      </c>
      <c r="C18" s="7">
        <f t="shared" ref="C18:C25" si="6">IFERROR(_xlfn.NUMBERVALUE(D18), 0) + 1</f>
        <v>1</v>
      </c>
      <c r="D18" s="7"/>
      <c r="E18" s="7"/>
      <c r="F18" s="31" t="str">
        <f t="shared" ref="F18:F25" si="7">IF(D18 + E18 &lt;= 1, "1d4", IF(D18 + E18 = 2, "1d6", IF(D18 + E18 = 3, "1d8", IF(D18 + E18 = 4, "1d10", IF(D18 + E18 = 5, "2d6", IF(D18 + E18 = 6, "2d8", IF(D18 + E18 = 7, "2d10", IF(D18 + E18 = 8, "3d8", IF(D18 + E18 = 9, "3d10", IF(D18 + E18 = 10, "4d8", ))))))))))</f>
        <v>1d4</v>
      </c>
      <c r="H18" s="115"/>
      <c r="I18" s="115"/>
      <c r="K18" s="83"/>
      <c r="L18" s="84"/>
      <c r="M18" s="84"/>
      <c r="N18" s="74"/>
    </row>
    <row r="19" spans="1:14" x14ac:dyDescent="0.25">
      <c r="A19" s="13"/>
      <c r="B19" s="32" t="str">
        <f>IF(L24 = 0,"Creation","Criação")</f>
        <v>Creation</v>
      </c>
      <c r="C19" s="6">
        <f t="shared" si="6"/>
        <v>1</v>
      </c>
      <c r="D19" s="6"/>
      <c r="E19" s="6"/>
      <c r="F19" s="33" t="str">
        <f t="shared" si="7"/>
        <v>1d4</v>
      </c>
      <c r="H19" s="115"/>
      <c r="I19" s="115"/>
      <c r="K19" s="63" t="str">
        <f>IF(L24= 0, "Attribute Points", "Pontos de Atributo")</f>
        <v>Attribute Points</v>
      </c>
      <c r="L19" s="64"/>
      <c r="M19" s="64"/>
      <c r="N19" s="59">
        <v>1</v>
      </c>
    </row>
    <row r="20" spans="1:14" x14ac:dyDescent="0.25">
      <c r="A20" s="13"/>
      <c r="B20" s="30" t="str">
        <f>IF(L24 = 0,"Energy","Energia")</f>
        <v>Energy</v>
      </c>
      <c r="C20" s="7">
        <f t="shared" si="6"/>
        <v>1</v>
      </c>
      <c r="D20" s="7"/>
      <c r="E20" s="7"/>
      <c r="F20" s="31" t="str">
        <f t="shared" si="7"/>
        <v>1d4</v>
      </c>
      <c r="H20" s="115"/>
      <c r="I20" s="115"/>
      <c r="K20" s="65"/>
      <c r="L20" s="66"/>
      <c r="M20" s="66"/>
      <c r="N20" s="60"/>
    </row>
    <row r="21" spans="1:14" x14ac:dyDescent="0.25">
      <c r="A21" s="13"/>
      <c r="B21" s="32" t="str">
        <f>IF(L24 = 0,"Entropy","Entropia")</f>
        <v>Entropy</v>
      </c>
      <c r="C21" s="6">
        <f t="shared" si="6"/>
        <v>6</v>
      </c>
      <c r="D21" s="6">
        <v>5</v>
      </c>
      <c r="E21" s="6"/>
      <c r="F21" s="33" t="str">
        <f t="shared" si="7"/>
        <v>2d6</v>
      </c>
      <c r="H21" s="115"/>
      <c r="I21" s="115"/>
      <c r="K21" s="148" t="str">
        <f>IF(L24 = 0, "Feat Points", "Pontos de Perícia")</f>
        <v>Feat Points</v>
      </c>
      <c r="L21" s="149"/>
      <c r="M21" s="149"/>
      <c r="N21" s="61">
        <v>0</v>
      </c>
    </row>
    <row r="22" spans="1:14" ht="15" customHeight="1" thickBot="1" x14ac:dyDescent="0.3">
      <c r="A22" s="13"/>
      <c r="B22" s="30" t="str">
        <f>IF(L24 = 0,"Influcence","Influência")</f>
        <v>Influcence</v>
      </c>
      <c r="C22" s="7">
        <f t="shared" si="6"/>
        <v>1</v>
      </c>
      <c r="D22" s="7"/>
      <c r="E22" s="7"/>
      <c r="F22" s="31" t="str">
        <f t="shared" si="7"/>
        <v>1d4</v>
      </c>
      <c r="H22" s="115"/>
      <c r="I22" s="115"/>
      <c r="K22" s="150"/>
      <c r="L22" s="151"/>
      <c r="M22" s="151"/>
      <c r="N22" s="62"/>
    </row>
    <row r="23" spans="1:14" ht="15" customHeight="1" thickBot="1" x14ac:dyDescent="0.3">
      <c r="A23" s="13"/>
      <c r="B23" s="32" t="str">
        <f>IF(L24 = 0,"Movement","Movimento")</f>
        <v>Movement</v>
      </c>
      <c r="C23" s="6">
        <f t="shared" si="6"/>
        <v>4</v>
      </c>
      <c r="D23" s="6">
        <v>3</v>
      </c>
      <c r="E23" s="6"/>
      <c r="F23" s="33" t="str">
        <f t="shared" si="7"/>
        <v>1d8</v>
      </c>
      <c r="H23" s="115"/>
      <c r="I23" s="115"/>
    </row>
    <row r="24" spans="1:14" ht="15" customHeight="1" x14ac:dyDescent="0.25">
      <c r="A24" s="13"/>
      <c r="B24" s="30" t="str">
        <f>IF(L24 = 0,"Prescience","Preciência")</f>
        <v>Prescience</v>
      </c>
      <c r="C24" s="7">
        <f t="shared" si="6"/>
        <v>4</v>
      </c>
      <c r="D24" s="7">
        <v>3</v>
      </c>
      <c r="E24" s="7"/>
      <c r="F24" s="31" t="str">
        <f>IF(D24 + E24 &lt;= 1, "1d4", IF(D24 + E24 = 2, "1d6", IF(D24 + E24 = 3, "1d8", IF(D24 + E24 = 4, "1d10", IF(D24 + E24 = 5, "2d6", IF(D24 + E24 = 6, "2d8", IF(D24 + E24 = 7, "2d10", IF(D24 + E24 = 8, "3d8", IF(D24 + E24 = 9, "3d10", IF(D24 + E24 = 10, "4d8", ))))))))))</f>
        <v>1d8</v>
      </c>
      <c r="H24" s="115"/>
      <c r="I24" s="115"/>
      <c r="K24" s="120" t="str">
        <f>IF(L24 = 0, "Language:", "Língua:")</f>
        <v>Language:</v>
      </c>
      <c r="L24" s="136">
        <v>0</v>
      </c>
      <c r="M24" s="136"/>
      <c r="N24" s="137"/>
    </row>
    <row r="25" spans="1:14" ht="15" customHeight="1" thickBot="1" x14ac:dyDescent="0.3">
      <c r="A25" s="13"/>
      <c r="B25" s="34" t="str">
        <f>IF(L24 = 0,"Protection","Proteção")</f>
        <v>Protection</v>
      </c>
      <c r="C25" s="35">
        <f t="shared" si="6"/>
        <v>5</v>
      </c>
      <c r="D25" s="35">
        <v>4</v>
      </c>
      <c r="E25" s="35"/>
      <c r="F25" s="36" t="str">
        <f t="shared" si="7"/>
        <v>1d10</v>
      </c>
      <c r="H25" s="115"/>
      <c r="I25" s="115"/>
      <c r="K25" s="121"/>
      <c r="L25" s="138"/>
      <c r="M25" s="138"/>
      <c r="N25" s="139"/>
    </row>
    <row r="26" spans="1:14" ht="16.5" thickTop="1" thickBot="1" x14ac:dyDescent="0.3">
      <c r="H26" s="115"/>
      <c r="I26" s="115"/>
      <c r="K26" s="41">
        <v>0</v>
      </c>
      <c r="L26" s="142" t="str">
        <f>IF(L24 = 0,"English","Inglês")</f>
        <v>English</v>
      </c>
      <c r="M26" s="142"/>
      <c r="N26" s="143"/>
    </row>
    <row r="27" spans="1:14" ht="15.75" thickBot="1" x14ac:dyDescent="0.3">
      <c r="B27" s="122" t="str">
        <f>IF(L24 = 0, "Defense Calculation", "Cálculo de Defesa")</f>
        <v>Defense Calculation</v>
      </c>
      <c r="C27" s="123"/>
      <c r="D27" s="123"/>
      <c r="E27" s="123"/>
      <c r="F27" s="124"/>
      <c r="H27" s="115"/>
      <c r="I27" s="115"/>
      <c r="K27" s="42">
        <v>1</v>
      </c>
      <c r="L27" s="140" t="str">
        <f>IF(L24 = 0,"Portuguese","Português")</f>
        <v>Portuguese</v>
      </c>
      <c r="M27" s="140"/>
      <c r="N27" s="141"/>
    </row>
    <row r="28" spans="1:14" ht="15.75" thickBot="1" x14ac:dyDescent="0.3">
      <c r="B28" s="125" t="str">
        <f>IF(L24 = 0, "Pre-Defense", "Antes da Defesa")</f>
        <v>Pre-Defense</v>
      </c>
      <c r="C28" s="126"/>
      <c r="D28" s="133" t="str">
        <f>IF(L24 = 0, "Post-Defense", "Pós-Defesa")</f>
        <v>Post-Defense</v>
      </c>
      <c r="E28" s="134"/>
      <c r="F28" s="135"/>
      <c r="H28" s="115"/>
      <c r="I28" s="115"/>
    </row>
    <row r="29" spans="1:14" ht="15.75" thickBot="1" x14ac:dyDescent="0.3">
      <c r="B29" s="127"/>
      <c r="C29" s="128"/>
      <c r="D29" s="128" t="str">
        <f>IF(B29 = "", "", IF(L14+N14 &lt; 0, B29 - (L12+N12), IF(ROUNDUP(B29 * 10/(L14+N14+10) - (L12+N12), 0) &gt;= 0, ROUNDUP(B29 * 10/(L14+N14+10) - (L12+N12), 0), 0)))</f>
        <v/>
      </c>
      <c r="E29" s="128"/>
      <c r="F29" s="131"/>
      <c r="H29" s="115"/>
      <c r="I29" s="115"/>
      <c r="K29" s="43" t="str">
        <f>IF(L24 = 0, "Size:", "Tamanho:")</f>
        <v>Size:</v>
      </c>
      <c r="L29" s="117">
        <v>4</v>
      </c>
      <c r="M29" s="118"/>
      <c r="N29" s="119"/>
    </row>
    <row r="30" spans="1:14" ht="15.75" thickBot="1" x14ac:dyDescent="0.3">
      <c r="B30" s="129"/>
      <c r="C30" s="130"/>
      <c r="D30" s="130"/>
      <c r="E30" s="130"/>
      <c r="F30" s="132"/>
      <c r="H30" s="115"/>
      <c r="I30" s="115"/>
    </row>
    <row r="31" spans="1:14" ht="15.75" thickBot="1" x14ac:dyDescent="0.3"/>
    <row r="32" spans="1:14" ht="48.75" customHeight="1" thickBot="1" x14ac:dyDescent="0.3">
      <c r="B32" s="56" t="s">
        <v>23</v>
      </c>
      <c r="C32" s="116">
        <v>35</v>
      </c>
      <c r="D32" s="116"/>
      <c r="E32" s="57" t="s">
        <v>0</v>
      </c>
      <c r="F32" s="58">
        <f xml:space="preserve"> 10 + 3*(D6+E6) + 2*(D5+E5) + D7+E7</f>
        <v>35</v>
      </c>
      <c r="H32" s="44" t="str">
        <f>IF(L24 = 0, "Skill / Perk / Feat", "Habilidade / Perícia")</f>
        <v>Skill / Perk / Feat</v>
      </c>
      <c r="I32" s="45" t="str">
        <f>IF(L24 = 0, "Description", "Descrição")</f>
        <v>Description</v>
      </c>
      <c r="J32" s="45" t="str">
        <f>IF(L24 = 0, "Attribute", "Atributo")</f>
        <v>Attribute</v>
      </c>
      <c r="K32" s="45" t="str">
        <f>IF(L24 = 0, "Cost", "Custo")</f>
        <v>Cost</v>
      </c>
    </row>
    <row r="33" spans="8:11" ht="30" x14ac:dyDescent="0.25">
      <c r="H33" s="51" t="s">
        <v>20</v>
      </c>
      <c r="I33" s="50" t="s">
        <v>25</v>
      </c>
      <c r="J33" s="49" t="str">
        <f>IF(L24 = 0,"Entropy","Entropia")</f>
        <v>Entropy</v>
      </c>
      <c r="K33" s="49" t="s">
        <v>21</v>
      </c>
    </row>
    <row r="34" spans="8:11" x14ac:dyDescent="0.25">
      <c r="H34" s="51" t="s">
        <v>7</v>
      </c>
      <c r="I34" s="50" t="s">
        <v>30</v>
      </c>
      <c r="J34" s="49" t="str">
        <f>IF(L24 = 0,"Movement","Movimento")</f>
        <v>Movement</v>
      </c>
      <c r="K34" s="49" t="s">
        <v>21</v>
      </c>
    </row>
    <row r="35" spans="8:11" ht="30" x14ac:dyDescent="0.25">
      <c r="H35" s="51" t="s">
        <v>8</v>
      </c>
      <c r="I35" s="50" t="s">
        <v>29</v>
      </c>
      <c r="J35" s="49" t="str">
        <f>IF(L24 = 0,"Prescience","Preciência")</f>
        <v>Prescience</v>
      </c>
      <c r="K35" s="49" t="s">
        <v>24</v>
      </c>
    </row>
    <row r="36" spans="8:11" ht="45" x14ac:dyDescent="0.25">
      <c r="H36" s="51" t="s">
        <v>10</v>
      </c>
      <c r="I36" s="50" t="s">
        <v>26</v>
      </c>
      <c r="J36" s="49" t="str">
        <f>IF(L24 = 0,"Protection","Proteção")</f>
        <v>Protection</v>
      </c>
      <c r="K36" s="49" t="s">
        <v>17</v>
      </c>
    </row>
    <row r="37" spans="8:11" ht="45" x14ac:dyDescent="0.25">
      <c r="H37" s="51" t="s">
        <v>11</v>
      </c>
      <c r="I37" s="50" t="s">
        <v>27</v>
      </c>
      <c r="J37" s="55" t="s">
        <v>18</v>
      </c>
      <c r="K37" s="49" t="s">
        <v>17</v>
      </c>
    </row>
    <row r="38" spans="8:11" ht="30" x14ac:dyDescent="0.25">
      <c r="H38" s="51" t="s">
        <v>19</v>
      </c>
      <c r="I38" s="51" t="s">
        <v>28</v>
      </c>
      <c r="J38" s="55" t="s">
        <v>16</v>
      </c>
      <c r="K38" s="49" t="s">
        <v>16</v>
      </c>
    </row>
    <row r="39" spans="8:11" x14ac:dyDescent="0.25">
      <c r="H39" s="51"/>
      <c r="I39" s="50"/>
      <c r="J39" s="55"/>
      <c r="K39" s="49"/>
    </row>
  </sheetData>
  <mergeCells count="44">
    <mergeCell ref="H4:I30"/>
    <mergeCell ref="C32:D32"/>
    <mergeCell ref="L29:N29"/>
    <mergeCell ref="K24:K25"/>
    <mergeCell ref="B27:F27"/>
    <mergeCell ref="B28:C28"/>
    <mergeCell ref="B29:C30"/>
    <mergeCell ref="D29:F30"/>
    <mergeCell ref="D28:F28"/>
    <mergeCell ref="L24:N25"/>
    <mergeCell ref="L27:N27"/>
    <mergeCell ref="L26:N26"/>
    <mergeCell ref="M9:M10"/>
    <mergeCell ref="N9:N10"/>
    <mergeCell ref="N12:N13"/>
    <mergeCell ref="K21:M22"/>
    <mergeCell ref="B2:F2"/>
    <mergeCell ref="B17:F17"/>
    <mergeCell ref="B13:F13"/>
    <mergeCell ref="B8:F8"/>
    <mergeCell ref="B4:F4"/>
    <mergeCell ref="L2:N3"/>
    <mergeCell ref="L4:N5"/>
    <mergeCell ref="K4:K5"/>
    <mergeCell ref="K7:K8"/>
    <mergeCell ref="P2:R3"/>
    <mergeCell ref="K2:K3"/>
    <mergeCell ref="L7:L8"/>
    <mergeCell ref="M7:M8"/>
    <mergeCell ref="N7:N8"/>
    <mergeCell ref="L9:L10"/>
    <mergeCell ref="K9:K10"/>
    <mergeCell ref="K12:K13"/>
    <mergeCell ref="K17:M18"/>
    <mergeCell ref="N14:N15"/>
    <mergeCell ref="N19:N20"/>
    <mergeCell ref="N21:N22"/>
    <mergeCell ref="K19:M20"/>
    <mergeCell ref="K14:K15"/>
    <mergeCell ref="L12:L13"/>
    <mergeCell ref="L14:L15"/>
    <mergeCell ref="M12:M13"/>
    <mergeCell ref="M14:M15"/>
    <mergeCell ref="N17:N1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XPPlus">
          <controlPr defaultSize="0" autoLine="0" r:id="rId5">
            <anchor moveWithCells="1" sizeWithCells="1">
              <from>
                <xdr:col>9</xdr:col>
                <xdr:colOff>333375</xdr:colOff>
                <xdr:row>1</xdr:row>
                <xdr:rowOff>38100</xdr:rowOff>
              </from>
              <to>
                <xdr:col>9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1051" r:id="rId4" name="XPPlus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AgilityIncrease">
            <anchor moveWithCells="1" sizeWithCells="1">
              <from>
                <xdr:col>0</xdr:col>
                <xdr:colOff>419100</xdr:colOff>
                <xdr:row>4</xdr:row>
                <xdr:rowOff>19050</xdr:rowOff>
              </from>
              <to>
                <xdr:col>0</xdr:col>
                <xdr:colOff>590550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7" name="Button 7">
          <controlPr defaultSize="0" print="0" autoFill="0" autoPict="0" macro="[0]!FortitudeIncrease">
            <anchor moveWithCells="1" sizeWithCells="1">
              <from>
                <xdr:col>0</xdr:col>
                <xdr:colOff>419100</xdr:colOff>
                <xdr:row>5</xdr:row>
                <xdr:rowOff>9525</xdr:rowOff>
              </from>
              <to>
                <xdr:col>0</xdr:col>
                <xdr:colOff>590550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" name="Button 8">
          <controlPr defaultSize="0" print="0" autoFill="0" autoPict="0" macro="[0]!MightIncrease">
            <anchor moveWithCells="1" sizeWithCells="1">
              <from>
                <xdr:col>0</xdr:col>
                <xdr:colOff>419100</xdr:colOff>
                <xdr:row>6</xdr:row>
                <xdr:rowOff>9525</xdr:rowOff>
              </from>
              <to>
                <xdr:col>0</xdr:col>
                <xdr:colOff>590550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9" name="Button 9">
          <controlPr defaultSize="0" print="0" autoFill="0" autoPict="0" macro="[0]!LearnIncrease">
            <anchor moveWithCells="1" sizeWithCells="1">
              <from>
                <xdr:col>0</xdr:col>
                <xdr:colOff>419100</xdr:colOff>
                <xdr:row>8</xdr:row>
                <xdr:rowOff>19050</xdr:rowOff>
              </from>
              <to>
                <xdr:col>0</xdr:col>
                <xdr:colOff>590550</xdr:colOff>
                <xdr:row>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0" name="Button 10">
          <controlPr defaultSize="0" print="0" autoFill="0" autoPict="0" macro="[0]!LogicIncrease">
            <anchor moveWithCells="1" sizeWithCells="1">
              <from>
                <xdr:col>0</xdr:col>
                <xdr:colOff>419100</xdr:colOff>
                <xdr:row>9</xdr:row>
                <xdr:rowOff>9525</xdr:rowOff>
              </from>
              <to>
                <xdr:col>0</xdr:col>
                <xdr:colOff>590550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1" name="Button 11">
          <controlPr defaultSize="0" print="0" autoFill="0" autoPict="0" macro="[0]!PerceptionIncrease">
            <anchor moveWithCells="1" sizeWithCells="1">
              <from>
                <xdr:col>0</xdr:col>
                <xdr:colOff>419100</xdr:colOff>
                <xdr:row>10</xdr:row>
                <xdr:rowOff>9525</xdr:rowOff>
              </from>
              <to>
                <xdr:col>0</xdr:col>
                <xdr:colOff>590550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2" name="Button 12">
          <controlPr defaultSize="0" print="0" autoFill="0" autoPict="0" macro="[0]!WillIncrease">
            <anchor moveWithCells="1" sizeWithCells="1">
              <from>
                <xdr:col>0</xdr:col>
                <xdr:colOff>419100</xdr:colOff>
                <xdr:row>11</xdr:row>
                <xdr:rowOff>9525</xdr:rowOff>
              </from>
              <to>
                <xdr:col>0</xdr:col>
                <xdr:colOff>590550</xdr:colOff>
                <xdr:row>11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3" name="Button 15">
          <controlPr defaultSize="0" print="0" autoFill="0" autoPict="0" macro="[0]!DeceptionIncrease">
            <anchor moveWithCells="1" sizeWithCells="1">
              <from>
                <xdr:col>0</xdr:col>
                <xdr:colOff>419100</xdr:colOff>
                <xdr:row>13</xdr:row>
                <xdr:rowOff>9525</xdr:rowOff>
              </from>
              <to>
                <xdr:col>0</xdr:col>
                <xdr:colOff>590550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4" name="Button 16">
          <controlPr defaultSize="0" print="0" autoFill="0" autoPict="0" macro="[0]!PersuationIncrease">
            <anchor moveWithCells="1" sizeWithCells="1">
              <from>
                <xdr:col>0</xdr:col>
                <xdr:colOff>419100</xdr:colOff>
                <xdr:row>14</xdr:row>
                <xdr:rowOff>9525</xdr:rowOff>
              </from>
              <to>
                <xdr:col>0</xdr:col>
                <xdr:colOff>590550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5" name="Button 17">
          <controlPr defaultSize="0" print="0" autoFill="0" autoPict="0" macro="[0]!PresenceIncrease">
            <anchor moveWithCells="1" sizeWithCells="1">
              <from>
                <xdr:col>0</xdr:col>
                <xdr:colOff>419100</xdr:colOff>
                <xdr:row>15</xdr:row>
                <xdr:rowOff>9525</xdr:rowOff>
              </from>
              <to>
                <xdr:col>0</xdr:col>
                <xdr:colOff>590550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6" name="Button 18">
          <controlPr defaultSize="0" print="0" autoFill="0" autoPict="0" macro="[0]!AlterationIncrease">
            <anchor moveWithCells="1" sizeWithCells="1">
              <from>
                <xdr:col>0</xdr:col>
                <xdr:colOff>419100</xdr:colOff>
                <xdr:row>17</xdr:row>
                <xdr:rowOff>9525</xdr:rowOff>
              </from>
              <to>
                <xdr:col>0</xdr:col>
                <xdr:colOff>590550</xdr:colOff>
                <xdr:row>17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7" name="Button 19">
          <controlPr defaultSize="0" print="0" autoFill="0" autoPict="0" macro="[0]!CreationIncrease">
            <anchor moveWithCells="1" sizeWithCells="1">
              <from>
                <xdr:col>0</xdr:col>
                <xdr:colOff>419100</xdr:colOff>
                <xdr:row>18</xdr:row>
                <xdr:rowOff>9525</xdr:rowOff>
              </from>
              <to>
                <xdr:col>0</xdr:col>
                <xdr:colOff>590550</xdr:colOff>
                <xdr:row>18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18" name="Button 20">
          <controlPr defaultSize="0" print="0" autoFill="0" autoPict="0" macro="[0]!EnergyIncrease">
            <anchor moveWithCells="1" sizeWithCells="1">
              <from>
                <xdr:col>0</xdr:col>
                <xdr:colOff>419100</xdr:colOff>
                <xdr:row>19</xdr:row>
                <xdr:rowOff>9525</xdr:rowOff>
              </from>
              <to>
                <xdr:col>0</xdr:col>
                <xdr:colOff>590550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9" name="Button 21">
          <controlPr defaultSize="0" print="0" autoFill="0" autoPict="0" macro="[0]!EntropyIncrease">
            <anchor moveWithCells="1" sizeWithCells="1">
              <from>
                <xdr:col>0</xdr:col>
                <xdr:colOff>419100</xdr:colOff>
                <xdr:row>20</xdr:row>
                <xdr:rowOff>9525</xdr:rowOff>
              </from>
              <to>
                <xdr:col>0</xdr:col>
                <xdr:colOff>590550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0" name="Button 22">
          <controlPr defaultSize="0" print="0" autoFill="0" autoPict="0" macro="[0]!InfluenceIncrease">
            <anchor moveWithCells="1" sizeWithCells="1">
              <from>
                <xdr:col>0</xdr:col>
                <xdr:colOff>419100</xdr:colOff>
                <xdr:row>21</xdr:row>
                <xdr:rowOff>9525</xdr:rowOff>
              </from>
              <to>
                <xdr:col>0</xdr:col>
                <xdr:colOff>590550</xdr:colOff>
                <xdr:row>21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1" name="Button 23">
          <controlPr defaultSize="0" print="0" autoFill="0" autoPict="0" macro="[0]!MovementIncrease">
            <anchor moveWithCells="1" sizeWithCells="1">
              <from>
                <xdr:col>0</xdr:col>
                <xdr:colOff>419100</xdr:colOff>
                <xdr:row>22</xdr:row>
                <xdr:rowOff>9525</xdr:rowOff>
              </from>
              <to>
                <xdr:col>0</xdr:col>
                <xdr:colOff>590550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2" name="Button 24">
          <controlPr defaultSize="0" print="0" autoFill="0" autoPict="0" macro="[0]!PrescienceIncrease">
            <anchor moveWithCells="1" sizeWithCells="1">
              <from>
                <xdr:col>0</xdr:col>
                <xdr:colOff>419100</xdr:colOff>
                <xdr:row>23</xdr:row>
                <xdr:rowOff>9525</xdr:rowOff>
              </from>
              <to>
                <xdr:col>0</xdr:col>
                <xdr:colOff>590550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3" name="Button 25">
          <controlPr defaultSize="0" print="0" autoFill="0" autoPict="0" macro="[0]!ProtectionIncrease">
            <anchor moveWithCells="1" sizeWithCells="1">
              <from>
                <xdr:col>0</xdr:col>
                <xdr:colOff>419100</xdr:colOff>
                <xdr:row>24</xdr:row>
                <xdr:rowOff>9525</xdr:rowOff>
              </from>
              <to>
                <xdr:col>0</xdr:col>
                <xdr:colOff>590550</xdr:colOff>
                <xdr:row>24</xdr:row>
                <xdr:rowOff>180975</xdr:rowOff>
              </to>
            </anchor>
          </controlPr>
        </control>
      </mc:Choice>
    </mc:AlternateContent>
  </controls>
  <tableParts count="2">
    <tablePart r:id="rId24"/>
    <tablePart r:id="rId2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2018-01-26T14:39:37Z</dcterms:created>
  <dcterms:modified xsi:type="dcterms:W3CDTF">2018-02-16T14:17:49Z</dcterms:modified>
</cp:coreProperties>
</file>