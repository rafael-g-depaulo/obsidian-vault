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4.xml" ContentType="application/vnd.openxmlformats-officedocument.drawing+xml"/>
  <Override PartName="/xl/activeX/activeX4.xml" ContentType="application/vnd.ms-office.activeX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activeX/activeX5.xml" ContentType="application/vnd.ms-office.activeX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drawings/drawing6.xml" ContentType="application/vnd.openxmlformats-officedocument.drawing+xml"/>
  <Override PartName="/xl/activeX/activeX6.xml" ContentType="application/vnd.ms-office.activeX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7.xml" ContentType="application/vnd.openxmlformats-officedocument.drawing+xml"/>
  <Override PartName="/xl/activeX/activeX7.xml" ContentType="application/vnd.ms-office.activeX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drawings/drawing8.xml" ContentType="application/vnd.openxmlformats-officedocument.drawing+xml"/>
  <Override PartName="/xl/activeX/activeX8.xml" ContentType="application/vnd.ms-office.activeX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drawings/drawing9.xml" ContentType="application/vnd.openxmlformats-officedocument.drawing+xml"/>
  <Override PartName="/xl/activeX/activeX9.xml" ContentType="application/vnd.ms-office.activeX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drawings/drawing10.xml" ContentType="application/vnd.openxmlformats-officedocument.drawing+xml"/>
  <Override PartName="/xl/activeX/activeX10.xml" ContentType="application/vnd.ms-office.activeX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drawings/drawing11.xml" ContentType="application/vnd.openxmlformats-officedocument.drawing+xml"/>
  <Override PartName="/xl/activeX/activeX11.xml" ContentType="application/vnd.ms-office.activeX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drawings/drawing12.xml" ContentType="application/vnd.openxmlformats-officedocument.drawing+xml"/>
  <Override PartName="/xl/activeX/activeX12.xml" ContentType="application/vnd.ms-office.activeX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drawings/drawing13.xml" ContentType="application/vnd.openxmlformats-officedocument.drawing+xml"/>
  <Override PartName="/xl/activeX/activeX13.xml" ContentType="application/vnd.ms-office.activeX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14.xml" ContentType="application/vnd.openxmlformats-officedocument.drawing+xml"/>
  <Override PartName="/xl/activeX/activeX14.xml" ContentType="application/vnd.ms-office.activeX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Assets\excell sheets\"/>
    </mc:Choice>
  </mc:AlternateContent>
  <bookViews>
    <workbookView xWindow="0" yWindow="0" windowWidth="11595" windowHeight="4890" tabRatio="803" firstSheet="11" activeTab="13"/>
  </bookViews>
  <sheets>
    <sheet name="Enemy Sheet Template" sheetId="30" r:id="rId1"/>
    <sheet name="Harpy Lv2" sheetId="25" r:id="rId2"/>
    <sheet name="Harpy Lv4" sheetId="27" r:id="rId3"/>
    <sheet name="Harpy Matriarc (Lv1-Boss)" sheetId="28" r:id="rId4"/>
    <sheet name="Baby Boitatá Lv4" sheetId="29" r:id="rId5"/>
    <sheet name="Boitatá (Lv2-Boss)" sheetId="11" r:id="rId6"/>
    <sheet name="Bullywug Spearman Lv3" sheetId="31" r:id="rId7"/>
    <sheet name="Bullywug Scout Lv2" sheetId="32" r:id="rId8"/>
    <sheet name="Ent Lv2" sheetId="33" r:id="rId9"/>
    <sheet name="Wolf lv2" sheetId="34" r:id="rId10"/>
    <sheet name="Skeleton Hand (Lv2 Minion)" sheetId="36" r:id="rId11"/>
    <sheet name="Skeleton Half-Leg (Lv2.5)" sheetId="40" r:id="rId12"/>
    <sheet name="Skeleton Head (Lv3)" sheetId="39" r:id="rId13"/>
    <sheet name="Basilisk (Lv3-Boss)" sheetId="38" r:id="rId1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40" l="1"/>
  <c r="D24" i="40"/>
  <c r="D23" i="40"/>
  <c r="G22" i="40"/>
  <c r="D22" i="40"/>
  <c r="G21" i="40"/>
  <c r="F21" i="40"/>
  <c r="D21" i="40"/>
  <c r="F20" i="40"/>
  <c r="D20" i="40"/>
  <c r="D19" i="40"/>
  <c r="D18" i="40"/>
  <c r="D16" i="40"/>
  <c r="D15" i="40"/>
  <c r="D14" i="40"/>
  <c r="G12" i="40"/>
  <c r="D12" i="40"/>
  <c r="D11" i="40"/>
  <c r="D10" i="40"/>
  <c r="D9" i="40"/>
  <c r="D7" i="40"/>
  <c r="D6" i="40"/>
  <c r="D5" i="40"/>
  <c r="Q3" i="40"/>
  <c r="P3" i="40"/>
  <c r="N3" i="40"/>
  <c r="D25" i="39"/>
  <c r="D24" i="39"/>
  <c r="D23" i="39"/>
  <c r="G22" i="39"/>
  <c r="D22" i="39"/>
  <c r="G21" i="39"/>
  <c r="F21" i="39"/>
  <c r="D21" i="39"/>
  <c r="F20" i="39"/>
  <c r="D20" i="39"/>
  <c r="D19" i="39"/>
  <c r="D18" i="39"/>
  <c r="D16" i="39"/>
  <c r="D15" i="39"/>
  <c r="D14" i="39"/>
  <c r="G12" i="39"/>
  <c r="D12" i="39"/>
  <c r="D11" i="39"/>
  <c r="D10" i="39"/>
  <c r="D9" i="39"/>
  <c r="D7" i="39"/>
  <c r="D6" i="39"/>
  <c r="D5" i="39"/>
  <c r="Q3" i="39"/>
  <c r="P3" i="39"/>
  <c r="N3" i="39"/>
  <c r="D25" i="38" l="1"/>
  <c r="D24" i="38"/>
  <c r="D23" i="38"/>
  <c r="G22" i="38"/>
  <c r="D22" i="38"/>
  <c r="G21" i="38"/>
  <c r="F21" i="38"/>
  <c r="D21" i="38"/>
  <c r="F20" i="38"/>
  <c r="D20" i="38"/>
  <c r="D19" i="38"/>
  <c r="D18" i="38"/>
  <c r="D16" i="38"/>
  <c r="D15" i="38"/>
  <c r="D14" i="38"/>
  <c r="G12" i="38"/>
  <c r="D12" i="38"/>
  <c r="D11" i="38"/>
  <c r="D10" i="38"/>
  <c r="D9" i="38"/>
  <c r="D7" i="38"/>
  <c r="D6" i="38"/>
  <c r="D5" i="38"/>
  <c r="S3" i="38"/>
  <c r="R3" i="38"/>
  <c r="P3" i="38"/>
  <c r="D25" i="36" l="1"/>
  <c r="D24" i="36"/>
  <c r="D23" i="36"/>
  <c r="G22" i="36"/>
  <c r="D22" i="36"/>
  <c r="G21" i="36"/>
  <c r="F21" i="36"/>
  <c r="D21" i="36"/>
  <c r="F20" i="36"/>
  <c r="D20" i="36"/>
  <c r="D19" i="36"/>
  <c r="D18" i="36"/>
  <c r="D16" i="36"/>
  <c r="D15" i="36"/>
  <c r="D14" i="36"/>
  <c r="G12" i="36"/>
  <c r="D12" i="36"/>
  <c r="D11" i="36"/>
  <c r="D10" i="36"/>
  <c r="D9" i="36"/>
  <c r="D7" i="36"/>
  <c r="D6" i="36"/>
  <c r="D5" i="36"/>
  <c r="Q3" i="36"/>
  <c r="P3" i="36"/>
  <c r="N3" i="36"/>
  <c r="D25" i="34" l="1"/>
  <c r="D24" i="34"/>
  <c r="D23" i="34"/>
  <c r="G22" i="34"/>
  <c r="D22" i="34"/>
  <c r="G21" i="34"/>
  <c r="F21" i="34"/>
  <c r="D21" i="34"/>
  <c r="F20" i="34"/>
  <c r="D20" i="34"/>
  <c r="D19" i="34"/>
  <c r="D18" i="34"/>
  <c r="D16" i="34"/>
  <c r="D15" i="34"/>
  <c r="D14" i="34"/>
  <c r="G12" i="34"/>
  <c r="D12" i="34"/>
  <c r="D11" i="34"/>
  <c r="D10" i="34"/>
  <c r="D9" i="34"/>
  <c r="D7" i="34"/>
  <c r="D6" i="34"/>
  <c r="D5" i="34"/>
  <c r="Q3" i="34"/>
  <c r="P3" i="34"/>
  <c r="N3" i="34"/>
  <c r="D25" i="33"/>
  <c r="D24" i="33"/>
  <c r="D23" i="33"/>
  <c r="G22" i="33"/>
  <c r="D22" i="33"/>
  <c r="G21" i="33"/>
  <c r="F21" i="33"/>
  <c r="D21" i="33"/>
  <c r="F20" i="33"/>
  <c r="D20" i="33"/>
  <c r="D19" i="33"/>
  <c r="D18" i="33"/>
  <c r="D16" i="33"/>
  <c r="D15" i="33"/>
  <c r="D14" i="33"/>
  <c r="G12" i="33"/>
  <c r="D12" i="33"/>
  <c r="D11" i="33"/>
  <c r="D10" i="33"/>
  <c r="D9" i="33"/>
  <c r="D7" i="33"/>
  <c r="D6" i="33"/>
  <c r="D5" i="33"/>
  <c r="Q3" i="33"/>
  <c r="P3" i="33"/>
  <c r="N3" i="33"/>
  <c r="D25" i="32"/>
  <c r="D24" i="32"/>
  <c r="D23" i="32"/>
  <c r="G22" i="32"/>
  <c r="D22" i="32"/>
  <c r="G21" i="32"/>
  <c r="F21" i="32"/>
  <c r="D21" i="32"/>
  <c r="F20" i="32"/>
  <c r="D20" i="32"/>
  <c r="D19" i="32"/>
  <c r="D18" i="32"/>
  <c r="D16" i="32"/>
  <c r="D15" i="32"/>
  <c r="D14" i="32"/>
  <c r="G12" i="32"/>
  <c r="D12" i="32"/>
  <c r="D11" i="32"/>
  <c r="D10" i="32"/>
  <c r="G9" i="32"/>
  <c r="D9" i="32"/>
  <c r="D7" i="32"/>
  <c r="D6" i="32"/>
  <c r="D5" i="32"/>
  <c r="S3" i="32"/>
  <c r="R3" i="32"/>
  <c r="P3" i="32"/>
  <c r="D25" i="31"/>
  <c r="D24" i="31"/>
  <c r="D23" i="31"/>
  <c r="G22" i="31"/>
  <c r="D22" i="31"/>
  <c r="G21" i="31"/>
  <c r="F21" i="31"/>
  <c r="D21" i="31"/>
  <c r="F20" i="31"/>
  <c r="D20" i="31"/>
  <c r="D19" i="31"/>
  <c r="D18" i="31"/>
  <c r="D16" i="31"/>
  <c r="D15" i="31"/>
  <c r="D14" i="31"/>
  <c r="G12" i="31"/>
  <c r="D12" i="31"/>
  <c r="D11" i="31"/>
  <c r="D10" i="31"/>
  <c r="G9" i="31"/>
  <c r="D9" i="31"/>
  <c r="D7" i="31"/>
  <c r="D6" i="31"/>
  <c r="D5" i="31"/>
  <c r="S3" i="31"/>
  <c r="R3" i="31"/>
  <c r="P3" i="31"/>
  <c r="D25" i="30"/>
  <c r="D24" i="30"/>
  <c r="D23" i="30"/>
  <c r="G22" i="30"/>
  <c r="D22" i="30"/>
  <c r="G21" i="30"/>
  <c r="F21" i="30"/>
  <c r="D21" i="30"/>
  <c r="F20" i="30"/>
  <c r="D20" i="30"/>
  <c r="D19" i="30"/>
  <c r="D18" i="30"/>
  <c r="D16" i="30"/>
  <c r="D15" i="30"/>
  <c r="D14" i="30"/>
  <c r="G12" i="30"/>
  <c r="D12" i="30"/>
  <c r="D11" i="30"/>
  <c r="D10" i="30"/>
  <c r="D9" i="30"/>
  <c r="D7" i="30"/>
  <c r="D6" i="30"/>
  <c r="D5" i="30"/>
  <c r="Q3" i="30"/>
  <c r="P3" i="30"/>
  <c r="N3" i="30"/>
  <c r="D25" i="11"/>
  <c r="D24" i="11"/>
  <c r="D23" i="11"/>
  <c r="G22" i="11"/>
  <c r="D22" i="11"/>
  <c r="G21" i="11"/>
  <c r="F21" i="11"/>
  <c r="D21" i="11"/>
  <c r="F20" i="11"/>
  <c r="D20" i="11"/>
  <c r="D19" i="11"/>
  <c r="D18" i="11"/>
  <c r="D16" i="11"/>
  <c r="D15" i="11"/>
  <c r="D14" i="11"/>
  <c r="G12" i="11"/>
  <c r="D12" i="11"/>
  <c r="D11" i="11"/>
  <c r="D10" i="11"/>
  <c r="G9" i="11"/>
  <c r="D9" i="11"/>
  <c r="D7" i="11"/>
  <c r="D6" i="11"/>
  <c r="D5" i="11"/>
  <c r="S3" i="11"/>
  <c r="R3" i="11"/>
  <c r="P3" i="11"/>
  <c r="D25" i="29"/>
  <c r="D24" i="29"/>
  <c r="D23" i="29"/>
  <c r="G22" i="29"/>
  <c r="D22" i="29"/>
  <c r="G21" i="29"/>
  <c r="F21" i="29"/>
  <c r="D21" i="29"/>
  <c r="F20" i="29"/>
  <c r="D20" i="29"/>
  <c r="D19" i="29"/>
  <c r="D18" i="29"/>
  <c r="D16" i="29"/>
  <c r="D15" i="29"/>
  <c r="D14" i="29"/>
  <c r="G12" i="29"/>
  <c r="D12" i="29"/>
  <c r="D11" i="29"/>
  <c r="D10" i="29"/>
  <c r="G9" i="29"/>
  <c r="D9" i="29"/>
  <c r="D7" i="29"/>
  <c r="D6" i="29"/>
  <c r="D5" i="29"/>
  <c r="S3" i="29"/>
  <c r="R3" i="29"/>
  <c r="P3" i="29"/>
  <c r="D25" i="28"/>
  <c r="D24" i="28"/>
  <c r="D23" i="28"/>
  <c r="G22" i="28"/>
  <c r="D22" i="28"/>
  <c r="G21" i="28"/>
  <c r="F21" i="28"/>
  <c r="D21" i="28"/>
  <c r="F20" i="28"/>
  <c r="D20" i="28"/>
  <c r="D19" i="28"/>
  <c r="D18" i="28"/>
  <c r="D16" i="28"/>
  <c r="D15" i="28"/>
  <c r="D14" i="28"/>
  <c r="G12" i="28"/>
  <c r="D12" i="28"/>
  <c r="D11" i="28"/>
  <c r="D10" i="28"/>
  <c r="D9" i="28"/>
  <c r="D7" i="28"/>
  <c r="D6" i="28"/>
  <c r="D5" i="28"/>
  <c r="Q3" i="28"/>
  <c r="P3" i="28"/>
  <c r="N3" i="28"/>
  <c r="D25" i="27"/>
  <c r="D24" i="27"/>
  <c r="D23" i="27"/>
  <c r="G22" i="27"/>
  <c r="D22" i="27"/>
  <c r="G21" i="27"/>
  <c r="F21" i="27"/>
  <c r="D21" i="27"/>
  <c r="F20" i="27"/>
  <c r="D20" i="27"/>
  <c r="D19" i="27"/>
  <c r="D18" i="27"/>
  <c r="D16" i="27"/>
  <c r="D15" i="27"/>
  <c r="D14" i="27"/>
  <c r="G12" i="27"/>
  <c r="D12" i="27"/>
  <c r="D11" i="27"/>
  <c r="D10" i="27"/>
  <c r="D9" i="27"/>
  <c r="D7" i="27"/>
  <c r="D6" i="27"/>
  <c r="D5" i="27"/>
  <c r="Q3" i="27"/>
  <c r="P3" i="27"/>
  <c r="N3" i="27"/>
  <c r="D25" i="25"/>
  <c r="D24" i="25"/>
  <c r="D23" i="25"/>
  <c r="G22" i="25"/>
  <c r="D22" i="25"/>
  <c r="G21" i="25"/>
  <c r="F21" i="25"/>
  <c r="D21" i="25"/>
  <c r="F20" i="25"/>
  <c r="D20" i="25"/>
  <c r="D19" i="25"/>
  <c r="D18" i="25"/>
  <c r="D16" i="25"/>
  <c r="D15" i="25"/>
  <c r="D14" i="25"/>
  <c r="G12" i="25"/>
  <c r="D12" i="25"/>
  <c r="D11" i="25"/>
  <c r="D10" i="25"/>
  <c r="D9" i="25"/>
  <c r="D7" i="25"/>
  <c r="D6" i="25"/>
  <c r="D5" i="25"/>
  <c r="Q3" i="25"/>
  <c r="P3" i="25"/>
  <c r="N3" i="25"/>
</calcChain>
</file>

<file path=xl/sharedStrings.xml><?xml version="1.0" encoding="utf-8"?>
<sst xmlns="http://schemas.openxmlformats.org/spreadsheetml/2006/main" count="908" uniqueCount="114">
  <si>
    <t>Name</t>
  </si>
  <si>
    <t>Dice</t>
  </si>
  <si>
    <t>Attribute</t>
  </si>
  <si>
    <t>HP:</t>
  </si>
  <si>
    <t>/</t>
  </si>
  <si>
    <t>MANA:</t>
  </si>
  <si>
    <t>Attacks With:</t>
  </si>
  <si>
    <t>Agility</t>
  </si>
  <si>
    <t>Movement</t>
  </si>
  <si>
    <t>Skill / Perk / Feat</t>
  </si>
  <si>
    <t>Description</t>
  </si>
  <si>
    <t>Cost</t>
  </si>
  <si>
    <t>Fortitude</t>
  </si>
  <si>
    <t>Might</t>
  </si>
  <si>
    <t>Attributes</t>
  </si>
  <si>
    <t>Score</t>
  </si>
  <si>
    <t>Physical</t>
  </si>
  <si>
    <t>Mental</t>
  </si>
  <si>
    <t>Logic</t>
  </si>
  <si>
    <t>Perception</t>
  </si>
  <si>
    <t>Will</t>
  </si>
  <si>
    <t>Social</t>
  </si>
  <si>
    <t>Deception</t>
  </si>
  <si>
    <t>Persuation</t>
  </si>
  <si>
    <t>Presence</t>
  </si>
  <si>
    <t>Alteration</t>
  </si>
  <si>
    <t>Creation</t>
  </si>
  <si>
    <t>Energy</t>
  </si>
  <si>
    <t>Entropy</t>
  </si>
  <si>
    <t>Influcence</t>
  </si>
  <si>
    <t>Prescience</t>
  </si>
  <si>
    <t>Protection</t>
  </si>
  <si>
    <t>Extraordinary</t>
  </si>
  <si>
    <t>Level</t>
  </si>
  <si>
    <t>To Hit</t>
  </si>
  <si>
    <t>GUARD</t>
  </si>
  <si>
    <t>DODGE</t>
  </si>
  <si>
    <t>STAMINA:</t>
  </si>
  <si>
    <t>Weaknesses</t>
  </si>
  <si>
    <t>Resistances</t>
  </si>
  <si>
    <t>Fire</t>
  </si>
  <si>
    <t>Arcane</t>
  </si>
  <si>
    <t>Water</t>
  </si>
  <si>
    <t>Ice</t>
  </si>
  <si>
    <t>Slashing</t>
  </si>
  <si>
    <t>Absorbs</t>
  </si>
  <si>
    <t>Immunities</t>
  </si>
  <si>
    <t>Boitatá tem 2 formas, uma normal e outra de fogo. Se atacado enquanto na forma normal, ele toma dano dobrado</t>
  </si>
  <si>
    <t>-</t>
  </si>
  <si>
    <t>Fire Form</t>
  </si>
  <si>
    <t>Na forma de Fogo, o Boitatá gasta 1 de Mana por turno. Quando fica sem mana, ele foge.</t>
  </si>
  <si>
    <t>Dual Form</t>
  </si>
  <si>
    <t>Learning</t>
  </si>
  <si>
    <t>Fire Body</t>
  </si>
  <si>
    <t>Quando o boitatá entra em contato físico com um personagem, ele pode tentar inflingir Persistent Damage(4) como uma Free Action</t>
  </si>
  <si>
    <t>Energy vs. Fortitude/Will</t>
  </si>
  <si>
    <t>Flame Dance</t>
  </si>
  <si>
    <t>O Boitatá pode, como uma reação, desviar automáticamente de qualquer ataque físico</t>
  </si>
  <si>
    <t>Bane Focus</t>
  </si>
  <si>
    <t>Banes &amp; Boons</t>
  </si>
  <si>
    <t>Bane or Boon?</t>
  </si>
  <si>
    <t>Power Level</t>
  </si>
  <si>
    <t>Duration</t>
  </si>
  <si>
    <t>Resist (Fail 3x = 1min)</t>
  </si>
  <si>
    <t>4</t>
  </si>
  <si>
    <t>Fort/Will</t>
  </si>
  <si>
    <t>Bane</t>
  </si>
  <si>
    <t>Persistent Dmg</t>
  </si>
  <si>
    <t>1d6 dmg per round (at start of turn)</t>
  </si>
  <si>
    <t>5 Mana</t>
  </si>
  <si>
    <t>2 per Turn</t>
  </si>
  <si>
    <t>1d8 dmg per round (at start of turn)</t>
  </si>
  <si>
    <t>6</t>
  </si>
  <si>
    <t>Ao passar do CR to Hit do Oponente por 5 ou mais, o Boitatá pode inflingir Persistent Damage(6) de graça</t>
  </si>
  <si>
    <t xml:space="preserve"> </t>
  </si>
  <si>
    <t>Poison</t>
  </si>
  <si>
    <t>Immobile</t>
  </si>
  <si>
    <t>1</t>
  </si>
  <si>
    <t>Agi vs. Fort</t>
  </si>
  <si>
    <t>Target can't move</t>
  </si>
  <si>
    <t>Slowed</t>
  </si>
  <si>
    <t>Target moves at half speed</t>
  </si>
  <si>
    <t>Sickened</t>
  </si>
  <si>
    <t>Target has disadvantage 1 on everything and -1 to Guard and Dodge</t>
  </si>
  <si>
    <t>Deal (1d4/1d6/1d8/1d10) damage at the start of the characters turn for 3 turns, or until resisted</t>
  </si>
  <si>
    <t>2/4/6/8</t>
  </si>
  <si>
    <t>Ent vs. Fort</t>
  </si>
  <si>
    <t>3 turns</t>
  </si>
  <si>
    <t>Debilitating Strike</t>
  </si>
  <si>
    <t>Poison Expertise</t>
  </si>
  <si>
    <t>Deals 1,5x damage to poisoned Enemies</t>
  </si>
  <si>
    <t>Swamp/Forest Camuflage</t>
  </si>
  <si>
    <t>+2 to Deception when hidding in Forest/Swamp</t>
  </si>
  <si>
    <t>Lightning</t>
  </si>
  <si>
    <t>Fire (4x)</t>
  </si>
  <si>
    <t>Healing Roots</t>
  </si>
  <si>
    <t>Heals Target. Then become dormant for 1 turn. Range: 6</t>
  </si>
  <si>
    <t>Ranged Attack</t>
  </si>
  <si>
    <t>Range: 6(30ft)</t>
  </si>
  <si>
    <t>Boss Edge</t>
  </si>
  <si>
    <t>Ao passar do CR to Hit do Oponente por 5 ou mais, o Boitatá pode inflingir Persistent Damage(4) de graça</t>
  </si>
  <si>
    <t>When hitting an attack, this creature may chose to do half damage, and inflict a Bane. (can inflict one extra Bane on crit, but doesn't deal extra crit damage)</t>
  </si>
  <si>
    <t>Movement:</t>
  </si>
  <si>
    <t>Swamp Expertize</t>
  </si>
  <si>
    <t>has Movement: 6 on Swamp</t>
  </si>
  <si>
    <r>
      <t>Might</t>
    </r>
    <r>
      <rPr>
        <sz val="11"/>
        <color theme="1"/>
        <rFont val="Calibri"/>
        <family val="2"/>
        <scheme val="minor"/>
      </rPr>
      <t>(Bludgeon)</t>
    </r>
  </si>
  <si>
    <t>Stone Crush Teeth</t>
  </si>
  <si>
    <t>Petrification</t>
  </si>
  <si>
    <t>Damage Attribute is considered +1 higher per petrification stage on target, and ignores defenses</t>
  </si>
  <si>
    <t>Necrotic</t>
  </si>
  <si>
    <t>Bludgeoning</t>
  </si>
  <si>
    <t>Elemental (all of them)</t>
  </si>
  <si>
    <t>Petrifying Glaze</t>
  </si>
  <si>
    <t>Whenever a creature starts it's turn within the basilisk's field of vision (range: 15m (10)), they roll Will against the basilisks presence. If they fail, they get Petrified (PL7, Stage 1). The Basilisk can also try to petrify a creature on it's turn as a bonus 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</si>
</sst>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4"/>
      <color rgb="FF883406"/>
      <name val="Calibri"/>
      <family val="2"/>
      <scheme val="minor"/>
    </font>
    <font>
      <sz val="16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6"/>
      <color rgb="FF7E691C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8"/>
      <color rgb="FF006100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0"/>
      <color rgb="FF00610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72"/>
      <color rgb="FF9C6500"/>
      <name val="Calibri"/>
      <family val="2"/>
      <scheme val="minor"/>
    </font>
    <font>
      <sz val="14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E7550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FEB9C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9" fillId="23" borderId="9" applyNumberFormat="0" applyAlignment="0" applyProtection="0"/>
    <xf numFmtId="0" fontId="3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5" fillId="29" borderId="0" applyNumberFormat="0" applyBorder="0" applyAlignment="0" applyProtection="0"/>
    <xf numFmtId="0" fontId="3" fillId="30" borderId="0" applyNumberFormat="0" applyBorder="0" applyAlignment="0" applyProtection="0"/>
    <xf numFmtId="0" fontId="22" fillId="31" borderId="0" applyNumberFormat="0" applyBorder="0" applyAlignment="0" applyProtection="0"/>
  </cellStyleXfs>
  <cellXfs count="134">
    <xf numFmtId="0" fontId="0" fillId="0" borderId="0" xfId="0"/>
    <xf numFmtId="0" fontId="1" fillId="13" borderId="0" xfId="12" applyBorder="1" applyAlignment="1">
      <alignment horizontal="center"/>
    </xf>
    <xf numFmtId="0" fontId="1" fillId="12" borderId="0" xfId="11" applyBorder="1" applyAlignment="1">
      <alignment horizontal="center"/>
    </xf>
    <xf numFmtId="0" fontId="1" fillId="16" borderId="2" xfId="15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4" borderId="0" xfId="3" applyBorder="1" applyAlignment="1">
      <alignment horizontal="center"/>
    </xf>
    <xf numFmtId="0" fontId="1" fillId="5" borderId="0" xfId="4" applyBorder="1" applyAlignment="1">
      <alignment horizontal="center"/>
    </xf>
    <xf numFmtId="0" fontId="1" fillId="8" borderId="2" xfId="7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3" fillId="10" borderId="3" xfId="9" applyBorder="1" applyAlignment="1">
      <alignment horizontal="center"/>
    </xf>
    <xf numFmtId="0" fontId="0" fillId="0" borderId="0" xfId="0" applyAlignment="1">
      <alignment horizontal="center" vertical="center"/>
    </xf>
    <xf numFmtId="0" fontId="3" fillId="26" borderId="16" xfId="19" applyBorder="1" applyAlignment="1">
      <alignment horizontal="center"/>
    </xf>
    <xf numFmtId="0" fontId="3" fillId="10" borderId="22" xfId="9" applyBorder="1" applyAlignment="1">
      <alignment horizontal="center"/>
    </xf>
    <xf numFmtId="0" fontId="3" fillId="10" borderId="23" xfId="9" applyBorder="1" applyAlignment="1">
      <alignment horizontal="center"/>
    </xf>
    <xf numFmtId="0" fontId="0" fillId="8" borderId="22" xfId="7" applyFont="1" applyBorder="1"/>
    <xf numFmtId="0" fontId="1" fillId="8" borderId="24" xfId="7" applyBorder="1" applyAlignment="1">
      <alignment horizontal="center"/>
    </xf>
    <xf numFmtId="0" fontId="0" fillId="7" borderId="22" xfId="6" applyFont="1" applyBorder="1"/>
    <xf numFmtId="0" fontId="1" fillId="7" borderId="24" xfId="6" applyBorder="1" applyAlignment="1">
      <alignment horizontal="center"/>
    </xf>
    <xf numFmtId="0" fontId="0" fillId="8" borderId="7" xfId="7" applyFont="1" applyBorder="1"/>
    <xf numFmtId="0" fontId="1" fillId="8" borderId="8" xfId="7" applyBorder="1" applyAlignment="1">
      <alignment horizontal="center"/>
    </xf>
    <xf numFmtId="0" fontId="1" fillId="5" borderId="24" xfId="4" applyBorder="1" applyAlignment="1">
      <alignment horizontal="center"/>
    </xf>
    <xf numFmtId="0" fontId="0" fillId="4" borderId="22" xfId="3" applyFont="1" applyBorder="1"/>
    <xf numFmtId="0" fontId="1" fillId="4" borderId="24" xfId="3" applyBorder="1" applyAlignment="1">
      <alignment horizontal="center"/>
    </xf>
    <xf numFmtId="0" fontId="0" fillId="5" borderId="22" xfId="4" applyFont="1" applyBorder="1"/>
    <xf numFmtId="0" fontId="0" fillId="16" borderId="22" xfId="15" applyFont="1" applyBorder="1"/>
    <xf numFmtId="0" fontId="1" fillId="16" borderId="24" xfId="15" applyBorder="1" applyAlignment="1">
      <alignment horizontal="center"/>
    </xf>
    <xf numFmtId="0" fontId="0" fillId="15" borderId="22" xfId="14" applyFont="1" applyBorder="1"/>
    <xf numFmtId="0" fontId="1" fillId="15" borderId="24" xfId="14" applyBorder="1" applyAlignment="1">
      <alignment horizontal="center"/>
    </xf>
    <xf numFmtId="0" fontId="0" fillId="16" borderId="7" xfId="15" applyFont="1" applyBorder="1"/>
    <xf numFmtId="0" fontId="1" fillId="16" borderId="8" xfId="15" applyBorder="1" applyAlignment="1">
      <alignment horizontal="center"/>
    </xf>
    <xf numFmtId="0" fontId="0" fillId="13" borderId="22" xfId="12" applyFont="1" applyBorder="1"/>
    <xf numFmtId="0" fontId="1" fillId="13" borderId="24" xfId="12" applyBorder="1" applyAlignment="1">
      <alignment horizontal="center"/>
    </xf>
    <xf numFmtId="0" fontId="0" fillId="12" borderId="22" xfId="11" applyFont="1" applyBorder="1"/>
    <xf numFmtId="0" fontId="1" fillId="12" borderId="24" xfId="11" applyBorder="1" applyAlignment="1">
      <alignment horizontal="center"/>
    </xf>
    <xf numFmtId="0" fontId="0" fillId="12" borderId="7" xfId="11" applyFont="1" applyBorder="1"/>
    <xf numFmtId="0" fontId="1" fillId="12" borderId="2" xfId="11" applyBorder="1" applyAlignment="1">
      <alignment horizontal="center"/>
    </xf>
    <xf numFmtId="0" fontId="1" fillId="12" borderId="8" xfId="1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3" fillId="30" borderId="0" xfId="21" applyAlignment="1">
      <alignment horizontal="center" vertical="center"/>
    </xf>
    <xf numFmtId="0" fontId="3" fillId="30" borderId="0" xfId="21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16" fontId="0" fillId="0" borderId="0" xfId="0" quotePrefix="1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0" xfId="0" applyBorder="1"/>
    <xf numFmtId="0" fontId="24" fillId="23" borderId="26" xfId="16" applyFont="1" applyBorder="1" applyAlignment="1">
      <alignment horizontal="center" vertical="center"/>
    </xf>
    <xf numFmtId="0" fontId="24" fillId="23" borderId="25" xfId="16" applyFont="1" applyBorder="1" applyAlignment="1">
      <alignment horizontal="center"/>
    </xf>
    <xf numFmtId="0" fontId="24" fillId="23" borderId="25" xfId="16" applyFont="1" applyBorder="1" applyAlignment="1">
      <alignment horizontal="center" vertical="center"/>
    </xf>
    <xf numFmtId="0" fontId="21" fillId="14" borderId="0" xfId="13" applyFont="1" applyAlignment="1">
      <alignment horizontal="center" vertical="center"/>
    </xf>
    <xf numFmtId="0" fontId="21" fillId="9" borderId="0" xfId="8" applyFont="1" applyAlignment="1">
      <alignment horizontal="center" vertical="center"/>
    </xf>
    <xf numFmtId="0" fontId="8" fillId="3" borderId="0" xfId="2" applyFont="1" applyAlignment="1">
      <alignment horizontal="center" vertical="center"/>
    </xf>
    <xf numFmtId="0" fontId="3" fillId="6" borderId="14" xfId="5" applyBorder="1" applyAlignment="1">
      <alignment horizontal="center"/>
    </xf>
    <xf numFmtId="0" fontId="3" fillId="6" borderId="1" xfId="5" applyBorder="1" applyAlignment="1">
      <alignment horizontal="center"/>
    </xf>
    <xf numFmtId="0" fontId="3" fillId="6" borderId="15" xfId="5" applyBorder="1" applyAlignment="1">
      <alignment horizontal="center"/>
    </xf>
    <xf numFmtId="0" fontId="7" fillId="17" borderId="4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19" fillId="17" borderId="5" xfId="1" applyFont="1" applyFill="1" applyBorder="1" applyAlignment="1">
      <alignment horizontal="center" vertical="center"/>
    </xf>
    <xf numFmtId="0" fontId="19" fillId="17" borderId="2" xfId="1" applyFont="1" applyFill="1" applyBorder="1" applyAlignment="1">
      <alignment horizontal="center" vertical="center"/>
    </xf>
    <xf numFmtId="0" fontId="7" fillId="17" borderId="5" xfId="1" applyFont="1" applyFill="1" applyBorder="1" applyAlignment="1">
      <alignment horizontal="center" vertical="center"/>
    </xf>
    <xf numFmtId="0" fontId="7" fillId="17" borderId="2" xfId="1" applyFont="1" applyFill="1" applyBorder="1" applyAlignment="1">
      <alignment horizontal="center" vertical="center"/>
    </xf>
    <xf numFmtId="0" fontId="19" fillId="17" borderId="6" xfId="1" applyFont="1" applyFill="1" applyBorder="1" applyAlignment="1">
      <alignment horizontal="center" vertical="center"/>
    </xf>
    <xf numFmtId="0" fontId="19" fillId="17" borderId="8" xfId="1" applyFont="1" applyFill="1" applyBorder="1" applyAlignment="1">
      <alignment horizontal="center" vertical="center"/>
    </xf>
    <xf numFmtId="0" fontId="3" fillId="9" borderId="14" xfId="8" applyBorder="1" applyAlignment="1">
      <alignment horizontal="center"/>
    </xf>
    <xf numFmtId="0" fontId="3" fillId="9" borderId="1" xfId="8" applyBorder="1" applyAlignment="1">
      <alignment horizontal="center"/>
    </xf>
    <xf numFmtId="0" fontId="3" fillId="9" borderId="15" xfId="8" applyBorder="1" applyAlignment="1">
      <alignment horizontal="center"/>
    </xf>
    <xf numFmtId="0" fontId="6" fillId="2" borderId="4" xfId="1" applyFont="1" applyBorder="1" applyAlignment="1">
      <alignment horizontal="center" vertical="center"/>
    </xf>
    <xf numFmtId="0" fontId="6" fillId="2" borderId="7" xfId="1" applyFont="1" applyBorder="1" applyAlignment="1">
      <alignment horizontal="center" vertical="center"/>
    </xf>
    <xf numFmtId="0" fontId="18" fillId="2" borderId="5" xfId="1" applyFont="1" applyBorder="1" applyAlignment="1">
      <alignment horizontal="center" vertical="center"/>
    </xf>
    <xf numFmtId="0" fontId="18" fillId="2" borderId="2" xfId="1" applyFont="1" applyBorder="1" applyAlignment="1">
      <alignment horizontal="center" vertical="center"/>
    </xf>
    <xf numFmtId="0" fontId="6" fillId="2" borderId="5" xfId="1" applyFont="1" applyBorder="1" applyAlignment="1">
      <alignment horizontal="center" vertical="center"/>
    </xf>
    <xf numFmtId="0" fontId="6" fillId="2" borderId="2" xfId="1" applyFont="1" applyBorder="1" applyAlignment="1">
      <alignment horizontal="center" vertical="center"/>
    </xf>
    <xf numFmtId="0" fontId="18" fillId="2" borderId="6" xfId="1" applyFont="1" applyBorder="1" applyAlignment="1">
      <alignment horizontal="center" vertical="center"/>
    </xf>
    <xf numFmtId="0" fontId="18" fillId="2" borderId="8" xfId="1" applyFont="1" applyBorder="1" applyAlignment="1">
      <alignment horizontal="center" vertical="center"/>
    </xf>
    <xf numFmtId="0" fontId="21" fillId="3" borderId="0" xfId="2" applyFont="1" applyAlignment="1">
      <alignment horizontal="center" vertical="center"/>
    </xf>
    <xf numFmtId="0" fontId="16" fillId="29" borderId="4" xfId="20" applyFont="1" applyBorder="1" applyAlignment="1">
      <alignment horizontal="center" vertical="center"/>
    </xf>
    <xf numFmtId="0" fontId="16" fillId="29" borderId="7" xfId="20" applyFont="1" applyBorder="1" applyAlignment="1">
      <alignment horizontal="center" vertical="center"/>
    </xf>
    <xf numFmtId="0" fontId="20" fillId="29" borderId="5" xfId="20" applyFont="1" applyBorder="1" applyAlignment="1">
      <alignment horizontal="center" vertical="center"/>
    </xf>
    <xf numFmtId="0" fontId="20" fillId="29" borderId="2" xfId="20" applyFont="1" applyBorder="1" applyAlignment="1">
      <alignment horizontal="center" vertical="center"/>
    </xf>
    <xf numFmtId="0" fontId="16" fillId="29" borderId="5" xfId="20" applyFont="1" applyBorder="1" applyAlignment="1">
      <alignment horizontal="center" vertical="center"/>
    </xf>
    <xf numFmtId="0" fontId="16" fillId="29" borderId="2" xfId="20" applyFont="1" applyBorder="1" applyAlignment="1">
      <alignment horizontal="center" vertical="center"/>
    </xf>
    <xf numFmtId="0" fontId="20" fillId="29" borderId="6" xfId="20" applyFont="1" applyBorder="1" applyAlignment="1">
      <alignment horizontal="center" vertical="center"/>
    </xf>
    <xf numFmtId="0" fontId="20" fillId="29" borderId="8" xfId="20" applyFont="1" applyBorder="1" applyAlignment="1">
      <alignment horizontal="center" vertical="center"/>
    </xf>
    <xf numFmtId="0" fontId="21" fillId="6" borderId="0" xfId="5" applyFont="1" applyAlignment="1">
      <alignment horizontal="center" vertical="center"/>
    </xf>
    <xf numFmtId="0" fontId="3" fillId="3" borderId="14" xfId="2" applyBorder="1" applyAlignment="1">
      <alignment horizontal="center"/>
    </xf>
    <xf numFmtId="0" fontId="3" fillId="3" borderId="1" xfId="2" applyBorder="1" applyAlignment="1">
      <alignment horizontal="center"/>
    </xf>
    <xf numFmtId="0" fontId="3" fillId="3" borderId="15" xfId="2" applyBorder="1" applyAlignment="1">
      <alignment horizontal="center"/>
    </xf>
    <xf numFmtId="0" fontId="4" fillId="18" borderId="4" xfId="0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horizontal="center" vertical="center"/>
    </xf>
    <xf numFmtId="0" fontId="5" fillId="19" borderId="5" xfId="0" applyFont="1" applyFill="1" applyBorder="1" applyAlignment="1">
      <alignment horizontal="center" vertical="center"/>
    </xf>
    <xf numFmtId="0" fontId="5" fillId="19" borderId="6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19" borderId="8" xfId="0" applyFont="1" applyFill="1" applyBorder="1" applyAlignment="1">
      <alignment horizontal="center" vertical="center"/>
    </xf>
    <xf numFmtId="0" fontId="14" fillId="21" borderId="4" xfId="0" applyFont="1" applyFill="1" applyBorder="1" applyAlignment="1">
      <alignment horizontal="center" vertical="center"/>
    </xf>
    <xf numFmtId="0" fontId="14" fillId="21" borderId="7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17" fillId="22" borderId="6" xfId="0" applyFont="1" applyFill="1" applyBorder="1" applyAlignment="1">
      <alignment horizontal="center" vertical="center"/>
    </xf>
    <xf numFmtId="0" fontId="17" fillId="22" borderId="2" xfId="0" applyFont="1" applyFill="1" applyBorder="1" applyAlignment="1">
      <alignment horizontal="center" vertical="center"/>
    </xf>
    <xf numFmtId="0" fontId="17" fillId="22" borderId="8" xfId="0" applyFont="1" applyFill="1" applyBorder="1" applyAlignment="1">
      <alignment horizontal="center" vertical="center"/>
    </xf>
    <xf numFmtId="0" fontId="3" fillId="14" borderId="14" xfId="13" applyBorder="1" applyAlignment="1">
      <alignment horizontal="center"/>
    </xf>
    <xf numFmtId="0" fontId="3" fillId="14" borderId="1" xfId="13" applyBorder="1" applyAlignment="1">
      <alignment horizontal="center"/>
    </xf>
    <xf numFmtId="0" fontId="3" fillId="14" borderId="15" xfId="13" applyBorder="1" applyAlignment="1">
      <alignment horizontal="center"/>
    </xf>
    <xf numFmtId="0" fontId="10" fillId="27" borderId="4" xfId="16" applyFont="1" applyFill="1" applyBorder="1" applyAlignment="1">
      <alignment horizontal="center" vertical="center"/>
    </xf>
    <xf numFmtId="0" fontId="10" fillId="27" borderId="10" xfId="16" applyFont="1" applyFill="1" applyBorder="1" applyAlignment="1">
      <alignment horizontal="center" vertical="center"/>
    </xf>
    <xf numFmtId="0" fontId="11" fillId="27" borderId="6" xfId="16" applyFont="1" applyFill="1" applyBorder="1" applyAlignment="1">
      <alignment horizontal="center" vertical="center"/>
    </xf>
    <xf numFmtId="0" fontId="11" fillId="27" borderId="11" xfId="16" applyFont="1" applyFill="1" applyBorder="1" applyAlignment="1">
      <alignment horizontal="center" vertical="center"/>
    </xf>
    <xf numFmtId="0" fontId="23" fillId="31" borderId="0" xfId="22" applyFont="1" applyAlignment="1">
      <alignment horizontal="center"/>
    </xf>
    <xf numFmtId="0" fontId="3" fillId="11" borderId="14" xfId="10" applyBorder="1" applyAlignment="1">
      <alignment horizontal="center"/>
    </xf>
    <xf numFmtId="0" fontId="3" fillId="11" borderId="1" xfId="10" applyBorder="1" applyAlignment="1">
      <alignment horizontal="center"/>
    </xf>
    <xf numFmtId="0" fontId="3" fillId="11" borderId="15" xfId="10" applyBorder="1" applyAlignment="1">
      <alignment horizontal="center"/>
    </xf>
    <xf numFmtId="0" fontId="12" fillId="28" borderId="12" xfId="16" applyFont="1" applyFill="1" applyBorder="1" applyAlignment="1">
      <alignment horizontal="center" vertical="center"/>
    </xf>
    <xf numFmtId="0" fontId="12" fillId="28" borderId="7" xfId="16" applyFont="1" applyFill="1" applyBorder="1" applyAlignment="1">
      <alignment horizontal="center" vertical="center"/>
    </xf>
    <xf numFmtId="0" fontId="13" fillId="28" borderId="13" xfId="16" applyFont="1" applyFill="1" applyBorder="1" applyAlignment="1">
      <alignment horizontal="center" vertical="center"/>
    </xf>
    <xf numFmtId="0" fontId="13" fillId="28" borderId="8" xfId="16" applyFont="1" applyFill="1" applyBorder="1" applyAlignment="1">
      <alignment horizontal="center" vertical="center"/>
    </xf>
    <xf numFmtId="0" fontId="8" fillId="20" borderId="0" xfId="0" applyFont="1" applyFill="1" applyAlignment="1">
      <alignment horizontal="center" vertical="center"/>
    </xf>
    <xf numFmtId="0" fontId="4" fillId="21" borderId="4" xfId="0" applyFont="1" applyFill="1" applyBorder="1" applyAlignment="1">
      <alignment horizontal="center" vertical="center"/>
    </xf>
    <xf numFmtId="0" fontId="4" fillId="21" borderId="7" xfId="0" applyFont="1" applyFill="1" applyBorder="1" applyAlignment="1">
      <alignment horizontal="center" vertical="center"/>
    </xf>
    <xf numFmtId="0" fontId="14" fillId="22" borderId="6" xfId="0" applyFont="1" applyFill="1" applyBorder="1" applyAlignment="1">
      <alignment horizontal="center" vertical="center"/>
    </xf>
    <xf numFmtId="0" fontId="14" fillId="22" borderId="8" xfId="0" applyFont="1" applyFill="1" applyBorder="1" applyAlignment="1">
      <alignment horizontal="center" vertical="center"/>
    </xf>
    <xf numFmtId="0" fontId="3" fillId="24" borderId="14" xfId="17" applyBorder="1" applyAlignment="1">
      <alignment horizontal="center"/>
    </xf>
    <xf numFmtId="0" fontId="3" fillId="24" borderId="1" xfId="17" applyBorder="1" applyAlignment="1">
      <alignment horizontal="center"/>
    </xf>
    <xf numFmtId="0" fontId="3" fillId="24" borderId="15" xfId="17" applyBorder="1" applyAlignment="1">
      <alignment horizontal="center"/>
    </xf>
    <xf numFmtId="0" fontId="3" fillId="26" borderId="17" xfId="19" applyBorder="1" applyAlignment="1">
      <alignment horizontal="center"/>
    </xf>
    <xf numFmtId="0" fontId="3" fillId="26" borderId="18" xfId="19" applyBorder="1" applyAlignment="1">
      <alignment horizontal="center"/>
    </xf>
    <xf numFmtId="0" fontId="4" fillId="25" borderId="19" xfId="18" applyFont="1" applyBorder="1" applyAlignment="1">
      <alignment horizontal="center" vertical="center"/>
    </xf>
    <xf numFmtId="0" fontId="4" fillId="25" borderId="7" xfId="18" applyFont="1" applyBorder="1" applyAlignment="1">
      <alignment horizontal="center" vertical="center"/>
    </xf>
    <xf numFmtId="0" fontId="4" fillId="25" borderId="20" xfId="18" applyFont="1" applyBorder="1" applyAlignment="1">
      <alignment horizontal="center" vertical="center"/>
    </xf>
    <xf numFmtId="0" fontId="4" fillId="25" borderId="21" xfId="18" applyFont="1" applyBorder="1" applyAlignment="1">
      <alignment horizontal="center" vertical="center"/>
    </xf>
    <xf numFmtId="0" fontId="4" fillId="25" borderId="2" xfId="18" applyFont="1" applyBorder="1" applyAlignment="1">
      <alignment horizontal="center" vertical="center"/>
    </xf>
    <xf numFmtId="0" fontId="4" fillId="25" borderId="8" xfId="18" applyFont="1" applyBorder="1" applyAlignment="1">
      <alignment horizontal="center" vertical="center"/>
    </xf>
    <xf numFmtId="0" fontId="23" fillId="31" borderId="0" xfId="22" applyFont="1" applyAlignment="1">
      <alignment horizontal="center" vertical="center"/>
    </xf>
    <xf numFmtId="0" fontId="14" fillId="19" borderId="6" xfId="0" applyFont="1" applyFill="1" applyBorder="1" applyAlignment="1">
      <alignment horizontal="center" vertical="center"/>
    </xf>
    <xf numFmtId="0" fontId="14" fillId="19" borderId="8" xfId="0" applyFont="1" applyFill="1" applyBorder="1" applyAlignment="1">
      <alignment horizontal="center" vertical="center"/>
    </xf>
  </cellXfs>
  <cellStyles count="23">
    <cellStyle name="20% - Accent1" xfId="3" builtinId="30"/>
    <cellStyle name="20% - Accent2" xfId="6" builtinId="34"/>
    <cellStyle name="20% - Accent4" xfId="11" builtinId="42"/>
    <cellStyle name="20% - Accent5" xfId="18" builtinId="46"/>
    <cellStyle name="20% - Accent6" xfId="14" builtinId="50"/>
    <cellStyle name="40% - Accent1" xfId="4" builtinId="31"/>
    <cellStyle name="40% - Accent2" xfId="7" builtinId="35"/>
    <cellStyle name="40% - Accent4" xfId="12" builtinId="43"/>
    <cellStyle name="40% - Accent6" xfId="15" builtinId="51"/>
    <cellStyle name="60% - Accent1" xfId="21" builtinId="32"/>
    <cellStyle name="60% - Accent3" xfId="9" builtinId="40"/>
    <cellStyle name="60% - Accent5" xfId="19" builtinId="48"/>
    <cellStyle name="Accent1" xfId="2" builtinId="29"/>
    <cellStyle name="Accent2" xfId="5" builtinId="33"/>
    <cellStyle name="Accent3" xfId="8" builtinId="37"/>
    <cellStyle name="Accent4" xfId="10" builtinId="41"/>
    <cellStyle name="Accent5" xfId="17" builtinId="45"/>
    <cellStyle name="Accent6" xfId="13" builtinId="49"/>
    <cellStyle name="Bad" xfId="1" builtinId="27"/>
    <cellStyle name="Good" xfId="20" builtinId="26"/>
    <cellStyle name="Input" xfId="16" builtinId="20"/>
    <cellStyle name="Neutral" xfId="22" builtinId="28"/>
    <cellStyle name="Normal" xfId="0" builtinId="0"/>
  </cellStyles>
  <dxfs count="391"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15" name="Table573201362116" displayName="Table573201362116" ref="K26:N28" headerRowCount="0" totalsRowShown="0" headerRowDxfId="390" dataDxfId="389">
  <tableColumns count="4">
    <tableColumn id="1" name="Column1" dataDxfId="388"/>
    <tableColumn id="2" name="Column2" dataDxfId="387"/>
    <tableColumn id="3" name="Column3" dataDxfId="386"/>
    <tableColumn id="4" name="Column4" dataDxfId="385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id="116" name="Table5212763117" displayName="Table5212763117" ref="K9:K11" headerRowCount="0" totalsRowShown="0" headerRowDxfId="384" dataDxfId="383">
  <tableColumns count="1">
    <tableColumn id="1" name="Column1" dataDxfId="382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id="117" name="Table57222864118" displayName="Table57222864118" ref="L9:L11" headerRowCount="0" totalsRowShown="0" headerRowDxfId="381" dataDxfId="380">
  <tableColumns count="1">
    <tableColumn id="1" name="Column1" dataDxfId="379"/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id="118" name="Table578232965119" displayName="Table578232965119" ref="K4:K6" headerRowCount="0" totalsRowShown="0" headerRowDxfId="378" dataDxfId="377">
  <tableColumns count="1">
    <tableColumn id="1" name="Column1" dataDxfId="376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119" name="Table5789243066120" displayName="Table5789243066120" ref="L4:L6" headerRowCount="0" totalsRowShown="0" headerRowDxfId="375" dataDxfId="374">
  <tableColumns count="1">
    <tableColumn id="1" name="Column1" dataDxfId="37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20" name="Table7323167121" displayName="Table7323167121" ref="N4:S5" headerRowCount="0" totalsRowShown="0" headerRowDxfId="372" dataDxfId="371">
  <tableColumns count="6">
    <tableColumn id="1" name="Column1" dataDxfId="370"/>
    <tableColumn id="2" name="Column2" dataDxfId="369"/>
    <tableColumn id="3" name="Column3" dataDxfId="368"/>
    <tableColumn id="4" name="Column4" dataDxfId="367"/>
    <tableColumn id="5" name="Column5" headerRowDxfId="366" dataDxfId="365"/>
    <tableColumn id="6" name="Column6" headerRowDxfId="364" dataDxfId="363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61" name="Table573201362" displayName="Table573201362" ref="K26:N28" headerRowCount="0" totalsRowShown="0" headerRowDxfId="362" dataDxfId="361">
  <tableColumns count="4">
    <tableColumn id="1" name="Column1" dataDxfId="360"/>
    <tableColumn id="2" name="Column2" dataDxfId="359"/>
    <tableColumn id="3" name="Column3" dataDxfId="358"/>
    <tableColumn id="4" name="Column4" dataDxfId="357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id="62" name="Table5212763" displayName="Table5212763" ref="K9:K11" headerRowCount="0" totalsRowShown="0" headerRowDxfId="356" dataDxfId="355">
  <tableColumns count="1">
    <tableColumn id="1" name="Column1" dataDxfId="354"/>
  </tableColumns>
  <tableStyleInfo name="TableStyleLight3" showFirstColumn="0" showLastColumn="0" showRowStripes="1" showColumnStripes="0"/>
</table>
</file>

<file path=xl/tables/table9.xml><?xml version="1.0" encoding="utf-8"?>
<table xmlns="http://schemas.openxmlformats.org/spreadsheetml/2006/main" id="63" name="Table57222864" displayName="Table57222864" ref="L9:L11" headerRowCount="0" totalsRowShown="0" headerRowDxfId="353" dataDxfId="352">
  <tableColumns count="1">
    <tableColumn id="1" name="Column1" dataDxfId="351"/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id="64" name="Table578232965" displayName="Table578232965" ref="K4:K6" headerRowCount="0" totalsRowShown="0" headerRowDxfId="350" dataDxfId="349">
  <tableColumns count="1">
    <tableColumn id="1" name="Column1" dataDxfId="348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65" name="Table5789243066" displayName="Table5789243066" ref="L4:L6" headerRowCount="0" totalsRowShown="0" headerRowDxfId="347" dataDxfId="346">
  <tableColumns count="1">
    <tableColumn id="1" name="Column1" dataDxfId="345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66" name="Table7323167" displayName="Table7323167" ref="N4:S5" headerRowCount="0" totalsRowShown="0" headerRowDxfId="344" dataDxfId="343">
  <tableColumns count="6">
    <tableColumn id="1" name="Column1" dataDxfId="342"/>
    <tableColumn id="2" name="Column2" dataDxfId="341"/>
    <tableColumn id="3" name="Column3" dataDxfId="340"/>
    <tableColumn id="4" name="Column4" dataDxfId="339"/>
    <tableColumn id="5" name="Column5" headerRowDxfId="338" dataDxfId="337"/>
    <tableColumn id="6" name="Column6" headerRowDxfId="336" dataDxfId="335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79" name="Table57320133280" displayName="Table57320133280" ref="K26:N28" headerRowCount="0" totalsRowShown="0" headerRowDxfId="334" dataDxfId="333">
  <tableColumns count="4">
    <tableColumn id="1" name="Column1" dataDxfId="332"/>
    <tableColumn id="2" name="Column2" dataDxfId="331"/>
    <tableColumn id="3" name="Column3" dataDxfId="330"/>
    <tableColumn id="4" name="Column4" dataDxfId="329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id="80" name="Table521273381" displayName="Table521273381" ref="K9:K11" headerRowCount="0" totalsRowShown="0" headerRowDxfId="328" dataDxfId="327">
  <tableColumns count="1">
    <tableColumn id="1" name="Column1" dataDxfId="326"/>
  </tableColumns>
  <tableStyleInfo name="TableStyleLight3" showFirstColumn="0" showLastColumn="0" showRowStripes="1" showColumnStripes="0"/>
</table>
</file>

<file path=xl/tables/table15.xml><?xml version="1.0" encoding="utf-8"?>
<table xmlns="http://schemas.openxmlformats.org/spreadsheetml/2006/main" id="81" name="Table5722283482" displayName="Table5722283482" ref="L9:L11" headerRowCount="0" totalsRowShown="0" headerRowDxfId="325" dataDxfId="324">
  <tableColumns count="1">
    <tableColumn id="1" name="Column1" dataDxfId="323"/>
  </tableColumns>
  <tableStyleInfo name="TableStyleLight7" showFirstColumn="0" showLastColumn="0" showRowStripes="1" showColumnStripes="0"/>
</table>
</file>

<file path=xl/tables/table16.xml><?xml version="1.0" encoding="utf-8"?>
<table xmlns="http://schemas.openxmlformats.org/spreadsheetml/2006/main" id="82" name="Table57823293583" displayName="Table57823293583" ref="K4:K6" headerRowCount="0" totalsRowShown="0" headerRowDxfId="322" dataDxfId="321">
  <tableColumns count="1">
    <tableColumn id="1" name="Column1" dataDxfId="320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83" name="Table578924303684" displayName="Table578924303684" ref="L4:L6" headerRowCount="0" totalsRowShown="0" headerRowDxfId="319" dataDxfId="318">
  <tableColumns count="1">
    <tableColumn id="1" name="Column1" dataDxfId="317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84" name="Table732313785" displayName="Table732313785" ref="N4:S5" headerRowCount="0" totalsRowShown="0" headerRowDxfId="316" dataDxfId="315">
  <tableColumns count="6">
    <tableColumn id="1" name="Column1" dataDxfId="314"/>
    <tableColumn id="2" name="Column2" dataDxfId="313"/>
    <tableColumn id="3" name="Column3" dataDxfId="312"/>
    <tableColumn id="4" name="Column4" dataDxfId="311"/>
    <tableColumn id="5" name="Column5" headerRowDxfId="310" dataDxfId="309"/>
    <tableColumn id="6" name="Column6" headerRowDxfId="308" dataDxfId="307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1" name="Table5732013323892" displayName="Table5732013323892" ref="K26:N28" headerRowCount="0" totalsRowShown="0" headerRowDxfId="306" dataDxfId="305">
  <tableColumns count="4">
    <tableColumn id="1" name="Column1" dataDxfId="304"/>
    <tableColumn id="2" name="Column2" dataDxfId="303"/>
    <tableColumn id="3" name="Column3" dataDxfId="302"/>
    <tableColumn id="4" name="Column4" dataDxfId="301"/>
  </tableColumns>
  <tableStyleInfo name="TableStyleDark1" showFirstColumn="0" showLastColumn="0" showRowStripes="1" showColumnStripes="0"/>
</table>
</file>

<file path=xl/tables/table20.xml><?xml version="1.0" encoding="utf-8"?>
<table xmlns="http://schemas.openxmlformats.org/spreadsheetml/2006/main" id="92" name="Table52127333993" displayName="Table52127333993" ref="K9:K11" headerRowCount="0" totalsRowShown="0" headerRowDxfId="300" dataDxfId="299">
  <tableColumns count="1">
    <tableColumn id="1" name="Column1" dataDxfId="298"/>
  </tableColumns>
  <tableStyleInfo name="TableStyleLight3" showFirstColumn="0" showLastColumn="0" showRowStripes="1" showColumnStripes="0"/>
</table>
</file>

<file path=xl/tables/table21.xml><?xml version="1.0" encoding="utf-8"?>
<table xmlns="http://schemas.openxmlformats.org/spreadsheetml/2006/main" id="93" name="Table572228344094" displayName="Table572228344094" ref="L9:L11" headerRowCount="0" totalsRowShown="0" headerRowDxfId="297" dataDxfId="296">
  <tableColumns count="1">
    <tableColumn id="1" name="Column1" dataDxfId="295"/>
  </tableColumns>
  <tableStyleInfo name="TableStyleLight7" showFirstColumn="0" showLastColumn="0" showRowStripes="1" showColumnStripes="0"/>
</table>
</file>

<file path=xl/tables/table22.xml><?xml version="1.0" encoding="utf-8"?>
<table xmlns="http://schemas.openxmlformats.org/spreadsheetml/2006/main" id="94" name="Table5782329354195" displayName="Table5782329354195" ref="K4:K6" headerRowCount="0" totalsRowShown="0" headerRowDxfId="294" dataDxfId="293">
  <tableColumns count="1">
    <tableColumn id="1" name="Column1" dataDxfId="292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id="95" name="Table57892430364296" displayName="Table57892430364296" ref="L4:L6" headerRowCount="0" totalsRowShown="0" headerRowDxfId="291" dataDxfId="290">
  <tableColumns count="1">
    <tableColumn id="1" name="Column1" dataDxfId="289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96" name="Table73231374397" displayName="Table73231374397" ref="N4:S5" headerRowCount="0" totalsRowShown="0" headerRowDxfId="288" dataDxfId="287">
  <tableColumns count="6">
    <tableColumn id="1" name="Column1" dataDxfId="286"/>
    <tableColumn id="2" name="Column2" dataDxfId="285"/>
    <tableColumn id="3" name="Column3" dataDxfId="284"/>
    <tableColumn id="4" name="Column4" dataDxfId="283"/>
    <tableColumn id="5" name="Column5" headerRowDxfId="282" dataDxfId="281"/>
    <tableColumn id="6" name="Column6" headerRowDxfId="280" dataDxfId="279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103" name="Table573104" displayName="Table573104" ref="K26:N30" headerRowCount="0" totalsRowShown="0" headerRowDxfId="278" dataDxfId="277">
  <tableColumns count="4">
    <tableColumn id="1" name="Column1" dataDxfId="276"/>
    <tableColumn id="2" name="Column2" dataDxfId="275"/>
    <tableColumn id="3" name="Column3" dataDxfId="274"/>
    <tableColumn id="4" name="Column4" dataDxfId="273"/>
  </tableColumns>
  <tableStyleInfo name="TableStyleDark1" showFirstColumn="0" showLastColumn="0" showRowStripes="1" showColumnStripes="0"/>
</table>
</file>

<file path=xl/tables/table26.xml><?xml version="1.0" encoding="utf-8"?>
<table xmlns="http://schemas.openxmlformats.org/spreadsheetml/2006/main" id="104" name="Table5105" displayName="Table5105" ref="K9:K11" headerRowCount="0" totalsRowShown="0" headerRowDxfId="272" dataDxfId="271">
  <tableColumns count="1">
    <tableColumn id="1" name="Column1" dataDxfId="270"/>
  </tableColumns>
  <tableStyleInfo name="TableStyleLight3" showFirstColumn="0" showLastColumn="0" showRowStripes="1" showColumnStripes="0"/>
</table>
</file>

<file path=xl/tables/table27.xml><?xml version="1.0" encoding="utf-8"?>
<table xmlns="http://schemas.openxmlformats.org/spreadsheetml/2006/main" id="105" name="Table57106" displayName="Table57106" ref="L9:L11" headerRowCount="0" totalsRowShown="0" headerRowDxfId="269" dataDxfId="268">
  <tableColumns count="1">
    <tableColumn id="1" name="Column1" dataDxfId="267"/>
  </tableColumns>
  <tableStyleInfo name="TableStyleLight7" showFirstColumn="0" showLastColumn="0" showRowStripes="1" showColumnStripes="0"/>
</table>
</file>

<file path=xl/tables/table28.xml><?xml version="1.0" encoding="utf-8"?>
<table xmlns="http://schemas.openxmlformats.org/spreadsheetml/2006/main" id="106" name="Table578107" displayName="Table578107" ref="K4:K6" headerRowCount="0" totalsRowShown="0" headerRowDxfId="266" dataDxfId="265">
  <tableColumns count="1">
    <tableColumn id="1" name="Column1" dataDxfId="264"/>
  </tableColumns>
  <tableStyleInfo name="TableStyleLight2" showFirstColumn="0" showLastColumn="0" showRowStripes="1" showColumnStripes="0"/>
</table>
</file>

<file path=xl/tables/table29.xml><?xml version="1.0" encoding="utf-8"?>
<table xmlns="http://schemas.openxmlformats.org/spreadsheetml/2006/main" id="107" name="Table5789108" displayName="Table5789108" ref="L4:L6" headerRowCount="0" totalsRowShown="0" headerRowDxfId="263" dataDxfId="262">
  <tableColumns count="1">
    <tableColumn id="1" name="Column1" dataDxfId="26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108" name="Table73109" displayName="Table73109" ref="P4:U5" headerRowCount="0" totalsRowShown="0" headerRowDxfId="260" dataDxfId="259">
  <tableColumns count="6">
    <tableColumn id="1" name="Column1" dataDxfId="258"/>
    <tableColumn id="2" name="Column2" dataDxfId="257"/>
    <tableColumn id="3" name="Column3" dataDxfId="256"/>
    <tableColumn id="4" name="Column4" dataDxfId="255"/>
    <tableColumn id="5" name="Column5" headerRowDxfId="254" dataDxfId="253"/>
    <tableColumn id="6" name="Column6" headerRowDxfId="252" dataDxfId="251"/>
  </tableColumns>
  <tableStyleInfo name="TableStyleDark9" showFirstColumn="0" showLastColumn="0" showRowStripes="1" showColumnStripes="0"/>
</table>
</file>

<file path=xl/tables/table31.xml><?xml version="1.0" encoding="utf-8"?>
<table xmlns="http://schemas.openxmlformats.org/spreadsheetml/2006/main" id="109" name="Table57350110" displayName="Table57350110" ref="K26:N28" headerRowCount="0" totalsRowShown="0" headerRowDxfId="250" dataDxfId="249">
  <tableColumns count="4">
    <tableColumn id="1" name="Column1" dataDxfId="248"/>
    <tableColumn id="2" name="Column2" dataDxfId="247"/>
    <tableColumn id="3" name="Column3" dataDxfId="246"/>
    <tableColumn id="4" name="Column4" dataDxfId="245"/>
  </tableColumns>
  <tableStyleInfo name="TableStyleDark1" showFirstColumn="0" showLastColumn="0" showRowStripes="1" showColumnStripes="0"/>
</table>
</file>

<file path=xl/tables/table32.xml><?xml version="1.0" encoding="utf-8"?>
<table xmlns="http://schemas.openxmlformats.org/spreadsheetml/2006/main" id="110" name="Table551111" displayName="Table551111" ref="K9:K11" headerRowCount="0" totalsRowShown="0" headerRowDxfId="244" dataDxfId="243">
  <tableColumns count="1">
    <tableColumn id="1" name="Column1" dataDxfId="242"/>
  </tableColumns>
  <tableStyleInfo name="TableStyleLight3" showFirstColumn="0" showLastColumn="0" showRowStripes="1" showColumnStripes="0"/>
</table>
</file>

<file path=xl/tables/table33.xml><?xml version="1.0" encoding="utf-8"?>
<table xmlns="http://schemas.openxmlformats.org/spreadsheetml/2006/main" id="111" name="Table5752112" displayName="Table5752112" ref="L9:L11" headerRowCount="0" totalsRowShown="0" headerRowDxfId="241" dataDxfId="240">
  <tableColumns count="1">
    <tableColumn id="1" name="Column1" dataDxfId="239"/>
  </tableColumns>
  <tableStyleInfo name="TableStyleLight7" showFirstColumn="0" showLastColumn="0" showRowStripes="1" showColumnStripes="0"/>
</table>
</file>

<file path=xl/tables/table34.xml><?xml version="1.0" encoding="utf-8"?>
<table xmlns="http://schemas.openxmlformats.org/spreadsheetml/2006/main" id="112" name="Table57853113" displayName="Table57853113" ref="K4:K6" headerRowCount="0" totalsRowShown="0" headerRowDxfId="238" dataDxfId="237">
  <tableColumns count="1">
    <tableColumn id="1" name="Column1" dataDxfId="236"/>
  </tableColumns>
  <tableStyleInfo name="TableStyleLight2" showFirstColumn="0" showLastColumn="0" showRowStripes="1" showColumnStripes="0"/>
</table>
</file>

<file path=xl/tables/table35.xml><?xml version="1.0" encoding="utf-8"?>
<table xmlns="http://schemas.openxmlformats.org/spreadsheetml/2006/main" id="113" name="Table578954114" displayName="Table578954114" ref="L4:L6" headerRowCount="0" totalsRowShown="0" headerRowDxfId="235" dataDxfId="234">
  <tableColumns count="1">
    <tableColumn id="1" name="Column1" dataDxfId="233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14" name="Table7355115" displayName="Table7355115" ref="P4:U5" headerRowCount="0" totalsRowShown="0" headerRowDxfId="232" dataDxfId="231">
  <tableColumns count="6">
    <tableColumn id="1" name="Column1" dataDxfId="230"/>
    <tableColumn id="2" name="Column2" dataDxfId="229"/>
    <tableColumn id="3" name="Column3" dataDxfId="228"/>
    <tableColumn id="4" name="Column4" dataDxfId="227"/>
    <tableColumn id="5" name="Column5" headerRowDxfId="226" dataDxfId="225"/>
    <tableColumn id="6" name="Column6" headerRowDxfId="224" dataDxfId="223"/>
  </tableColumns>
  <tableStyleInfo name="TableStyleDark9" showFirstColumn="0" showLastColumn="0" showRowStripes="1" showColumnStripes="0"/>
</table>
</file>

<file path=xl/tables/table37.xml><?xml version="1.0" encoding="utf-8"?>
<table xmlns="http://schemas.openxmlformats.org/spreadsheetml/2006/main" id="127" name="Table573204128" displayName="Table573204128" ref="K26:N27" headerRowCount="0" totalsRowShown="0" headerRowDxfId="222" dataDxfId="221">
  <tableColumns count="4">
    <tableColumn id="1" name="Column1" dataDxfId="220"/>
    <tableColumn id="2" name="Column2" dataDxfId="219"/>
    <tableColumn id="3" name="Column3" dataDxfId="218"/>
    <tableColumn id="4" name="Column4" dataDxfId="217"/>
  </tableColumns>
  <tableStyleInfo name="TableStyleDark1" showFirstColumn="0" showLastColumn="0" showRowStripes="1" showColumnStripes="0"/>
</table>
</file>

<file path=xl/tables/table38.xml><?xml version="1.0" encoding="utf-8"?>
<table xmlns="http://schemas.openxmlformats.org/spreadsheetml/2006/main" id="128" name="Table5215129" displayName="Table5215129" ref="K9:K11" headerRowCount="0" totalsRowShown="0" headerRowDxfId="216" dataDxfId="215">
  <tableColumns count="1">
    <tableColumn id="1" name="Column1" dataDxfId="214"/>
  </tableColumns>
  <tableStyleInfo name="TableStyleLight3" showFirstColumn="0" showLastColumn="0" showRowStripes="1" showColumnStripes="0"/>
</table>
</file>

<file path=xl/tables/table39.xml><?xml version="1.0" encoding="utf-8"?>
<table xmlns="http://schemas.openxmlformats.org/spreadsheetml/2006/main" id="129" name="Table572210130" displayName="Table572210130" ref="L9:L11" headerRowCount="0" totalsRowShown="0" headerRowDxfId="213" dataDxfId="212">
  <tableColumns count="1">
    <tableColumn id="1" name="Column1" dataDxfId="211"/>
  </tableColumns>
  <tableStyleInfo name="TableStyleLight7" showFirstColumn="0" showLastColumn="0" showRowStripes="1" showColumnStripes="0"/>
</table>
</file>

<file path=xl/tables/table40.xml><?xml version="1.0" encoding="utf-8"?>
<table xmlns="http://schemas.openxmlformats.org/spreadsheetml/2006/main" id="130" name="Table5782311131" displayName="Table5782311131" ref="K4:K6" headerRowCount="0" totalsRowShown="0" headerRowDxfId="210" dataDxfId="209">
  <tableColumns count="1">
    <tableColumn id="1" name="Column1" dataDxfId="208"/>
  </tableColumns>
  <tableStyleInfo name="TableStyleLight2" showFirstColumn="0" showLastColumn="0" showRowStripes="1" showColumnStripes="0"/>
</table>
</file>

<file path=xl/tables/table41.xml><?xml version="1.0" encoding="utf-8"?>
<table xmlns="http://schemas.openxmlformats.org/spreadsheetml/2006/main" id="131" name="Table57892412132" displayName="Table57892412132" ref="L4:L6" headerRowCount="0" totalsRowShown="0" headerRowDxfId="207" dataDxfId="206">
  <tableColumns count="1">
    <tableColumn id="1" name="Column1" dataDxfId="205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132" name="Table732131926133" displayName="Table732131926133" ref="P4:U5" headerRowCount="0" totalsRowShown="0" headerRowDxfId="204" dataDxfId="203">
  <tableColumns count="6">
    <tableColumn id="1" name="Column1" dataDxfId="202"/>
    <tableColumn id="2" name="Column2" dataDxfId="201"/>
    <tableColumn id="3" name="Column3" dataDxfId="200"/>
    <tableColumn id="4" name="Column4" dataDxfId="199"/>
    <tableColumn id="5" name="Column5" headerRowDxfId="198" dataDxfId="197"/>
    <tableColumn id="6" name="Column6" headerRowDxfId="196" dataDxfId="195"/>
  </tableColumns>
  <tableStyleInfo name="TableStyleDark9" showFirstColumn="0" showLastColumn="0" showRowStripes="1" showColumnStripes="0"/>
</table>
</file>

<file path=xl/tables/table43.xml><?xml version="1.0" encoding="utf-8"?>
<table xmlns="http://schemas.openxmlformats.org/spreadsheetml/2006/main" id="139" name="Table57320414140" displayName="Table57320414140" ref="K26:N29" headerRowCount="0" totalsRowShown="0" headerRowDxfId="194" dataDxfId="193">
  <tableColumns count="4">
    <tableColumn id="1" name="Column1" dataDxfId="192"/>
    <tableColumn id="2" name="Column2" dataDxfId="191"/>
    <tableColumn id="3" name="Column3" dataDxfId="190"/>
    <tableColumn id="4" name="Column4" dataDxfId="189"/>
  </tableColumns>
  <tableStyleInfo name="TableStyleDark1" showFirstColumn="0" showLastColumn="0" showRowStripes="1" showColumnStripes="0"/>
</table>
</file>

<file path=xl/tables/table44.xml><?xml version="1.0" encoding="utf-8"?>
<table xmlns="http://schemas.openxmlformats.org/spreadsheetml/2006/main" id="140" name="Table521515141" displayName="Table521515141" ref="K9:K11" headerRowCount="0" totalsRowShown="0" headerRowDxfId="188" dataDxfId="187">
  <tableColumns count="1">
    <tableColumn id="1" name="Column1" dataDxfId="186"/>
  </tableColumns>
  <tableStyleInfo name="TableStyleLight3" showFirstColumn="0" showLastColumn="0" showRowStripes="1" showColumnStripes="0"/>
</table>
</file>

<file path=xl/tables/table45.xml><?xml version="1.0" encoding="utf-8"?>
<table xmlns="http://schemas.openxmlformats.org/spreadsheetml/2006/main" id="141" name="Table57221016142" displayName="Table57221016142" ref="L9:L11" headerRowCount="0" totalsRowShown="0" headerRowDxfId="185" dataDxfId="184">
  <tableColumns count="1">
    <tableColumn id="1" name="Column1" dataDxfId="183"/>
  </tableColumns>
  <tableStyleInfo name="TableStyleLight7" showFirstColumn="0" showLastColumn="0" showRowStripes="1" showColumnStripes="0"/>
</table>
</file>

<file path=xl/tables/table46.xml><?xml version="1.0" encoding="utf-8"?>
<table xmlns="http://schemas.openxmlformats.org/spreadsheetml/2006/main" id="142" name="Table578231117143" displayName="Table578231117143" ref="K4:K6" headerRowCount="0" totalsRowShown="0" headerRowDxfId="182" dataDxfId="181">
  <tableColumns count="1">
    <tableColumn id="1" name="Column1" dataDxfId="180"/>
  </tableColumns>
  <tableStyleInfo name="TableStyleLight2" showFirstColumn="0" showLastColumn="0" showRowStripes="1" showColumnStripes="0"/>
</table>
</file>

<file path=xl/tables/table47.xml><?xml version="1.0" encoding="utf-8"?>
<table xmlns="http://schemas.openxmlformats.org/spreadsheetml/2006/main" id="143" name="Table5789241218144" displayName="Table5789241218144" ref="L4:L6" headerRowCount="0" totalsRowShown="0" headerRowDxfId="179" dataDxfId="178">
  <tableColumns count="1">
    <tableColumn id="1" name="Column1" dataDxfId="177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144" name="Table7321319145" displayName="Table7321319145" ref="P4:U6" headerRowCount="0" totalsRowShown="0" headerRowDxfId="176" dataDxfId="175">
  <tableColumns count="6">
    <tableColumn id="1" name="Column1" dataDxfId="174"/>
    <tableColumn id="2" name="Column2" dataDxfId="173"/>
    <tableColumn id="3" name="Column3" dataDxfId="172"/>
    <tableColumn id="4" name="Column4" dataDxfId="171"/>
    <tableColumn id="5" name="Column5" headerRowDxfId="170" dataDxfId="169"/>
    <tableColumn id="6" name="Column6" headerRowDxfId="168" dataDxfId="167"/>
  </tableColumns>
  <tableStyleInfo name="TableStyleDark9" showFirstColumn="0" showLastColumn="0" showRowStripes="1" showColumnStripes="0"/>
</table>
</file>

<file path=xl/tables/table49.xml><?xml version="1.0" encoding="utf-8"?>
<table xmlns="http://schemas.openxmlformats.org/spreadsheetml/2006/main" id="151" name="Table5732044152" displayName="Table5732044152" ref="K26:N26" headerRowCount="0" totalsRowShown="0" headerRowDxfId="166" dataDxfId="165">
  <tableColumns count="4">
    <tableColumn id="1" name="Column1" dataDxfId="164"/>
    <tableColumn id="2" name="Column2" dataDxfId="163"/>
    <tableColumn id="3" name="Column3" dataDxfId="162"/>
    <tableColumn id="4" name="Column4" dataDxfId="161"/>
  </tableColumns>
  <tableStyleInfo name="TableStyleDark1" showFirstColumn="0" showLastColumn="0" showRowStripes="1" showColumnStripes="0"/>
</table>
</file>

<file path=xl/tables/table50.xml><?xml version="1.0" encoding="utf-8"?>
<table xmlns="http://schemas.openxmlformats.org/spreadsheetml/2006/main" id="152" name="Table52145153" displayName="Table52145153" ref="K9:K11" headerRowCount="0" totalsRowShown="0" headerRowDxfId="160" dataDxfId="159">
  <tableColumns count="1">
    <tableColumn id="1" name="Column1" dataDxfId="158"/>
  </tableColumns>
  <tableStyleInfo name="TableStyleLight3" showFirstColumn="0" showLastColumn="0" showRowStripes="1" showColumnStripes="0"/>
</table>
</file>

<file path=xl/tables/table51.xml><?xml version="1.0" encoding="utf-8"?>
<table xmlns="http://schemas.openxmlformats.org/spreadsheetml/2006/main" id="153" name="Table572246154" displayName="Table572246154" ref="L9:L11" headerRowCount="0" totalsRowShown="0" headerRowDxfId="157" dataDxfId="156">
  <tableColumns count="1">
    <tableColumn id="1" name="Column1" dataDxfId="155"/>
  </tableColumns>
  <tableStyleInfo name="TableStyleLight7" showFirstColumn="0" showLastColumn="0" showRowStripes="1" showColumnStripes="0"/>
</table>
</file>

<file path=xl/tables/table52.xml><?xml version="1.0" encoding="utf-8"?>
<table xmlns="http://schemas.openxmlformats.org/spreadsheetml/2006/main" id="154" name="Table5782347155" displayName="Table5782347155" ref="K4:K6" headerRowCount="0" totalsRowShown="0" headerRowDxfId="154" dataDxfId="153">
  <tableColumns count="1">
    <tableColumn id="1" name="Column1" dataDxfId="152"/>
  </tableColumns>
  <tableStyleInfo name="TableStyleLight2" showFirstColumn="0" showLastColumn="0" showRowStripes="1" showColumnStripes="0"/>
</table>
</file>

<file path=xl/tables/table53.xml><?xml version="1.0" encoding="utf-8"?>
<table xmlns="http://schemas.openxmlformats.org/spreadsheetml/2006/main" id="155" name="Table57892448156" displayName="Table57892448156" ref="L4:L6" headerRowCount="0" totalsRowShown="0" headerRowDxfId="151" dataDxfId="150">
  <tableColumns count="1">
    <tableColumn id="1" name="Column1" dataDxfId="149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56" name="Table73249157" displayName="Table73249157" ref="N4:S5" headerRowCount="0" totalsRowShown="0" headerRowDxfId="148" dataDxfId="147">
  <tableColumns count="6">
    <tableColumn id="1" name="Column1" dataDxfId="146"/>
    <tableColumn id="2" name="Column2" dataDxfId="145"/>
    <tableColumn id="3" name="Column3" dataDxfId="144"/>
    <tableColumn id="4" name="Column4" dataDxfId="143"/>
    <tableColumn id="5" name="Column5" headerRowDxfId="142" dataDxfId="141"/>
    <tableColumn id="6" name="Column6" headerRowDxfId="140" dataDxfId="139"/>
  </tableColumns>
  <tableStyleInfo name="TableStyleDark9" showFirstColumn="0" showLastColumn="0" showRowStripes="1" showColumnStripes="0"/>
</table>
</file>

<file path=xl/tables/table55.xml><?xml version="1.0" encoding="utf-8"?>
<table xmlns="http://schemas.openxmlformats.org/spreadsheetml/2006/main" id="157" name="Table573201362116158" displayName="Table573201362116158" ref="K26:N28" headerRowCount="0" totalsRowShown="0" headerRowDxfId="138" dataDxfId="137">
  <tableColumns count="4">
    <tableColumn id="1" name="Column1" dataDxfId="136"/>
    <tableColumn id="2" name="Column2" dataDxfId="135"/>
    <tableColumn id="3" name="Column3" dataDxfId="134"/>
    <tableColumn id="4" name="Column4" dataDxfId="133"/>
  </tableColumns>
  <tableStyleInfo name="TableStyleDark1" showFirstColumn="0" showLastColumn="0" showRowStripes="1" showColumnStripes="0"/>
</table>
</file>

<file path=xl/tables/table56.xml><?xml version="1.0" encoding="utf-8"?>
<table xmlns="http://schemas.openxmlformats.org/spreadsheetml/2006/main" id="158" name="Table5212763117159" displayName="Table5212763117159" ref="K9:K11" headerRowCount="0" totalsRowShown="0" headerRowDxfId="132" dataDxfId="131">
  <tableColumns count="1">
    <tableColumn id="1" name="Column1" dataDxfId="130"/>
  </tableColumns>
  <tableStyleInfo name="TableStyleLight3" showFirstColumn="0" showLastColumn="0" showRowStripes="1" showColumnStripes="0"/>
</table>
</file>

<file path=xl/tables/table57.xml><?xml version="1.0" encoding="utf-8"?>
<table xmlns="http://schemas.openxmlformats.org/spreadsheetml/2006/main" id="159" name="Table57222864118160" displayName="Table57222864118160" ref="L9:L11" headerRowCount="0" totalsRowShown="0" headerRowDxfId="129" dataDxfId="128">
  <tableColumns count="1">
    <tableColumn id="1" name="Column1" dataDxfId="127"/>
  </tableColumns>
  <tableStyleInfo name="TableStyleLight7" showFirstColumn="0" showLastColumn="0" showRowStripes="1" showColumnStripes="0"/>
</table>
</file>

<file path=xl/tables/table58.xml><?xml version="1.0" encoding="utf-8"?>
<table xmlns="http://schemas.openxmlformats.org/spreadsheetml/2006/main" id="160" name="Table578232965119161" displayName="Table578232965119161" ref="K4:K6" headerRowCount="0" totalsRowShown="0" headerRowDxfId="126" dataDxfId="125">
  <tableColumns count="1">
    <tableColumn id="1" name="Column1" dataDxfId="124"/>
  </tableColumns>
  <tableStyleInfo name="TableStyleLight2" showFirstColumn="0" showLastColumn="0" showRowStripes="1" showColumnStripes="0"/>
</table>
</file>

<file path=xl/tables/table59.xml><?xml version="1.0" encoding="utf-8"?>
<table xmlns="http://schemas.openxmlformats.org/spreadsheetml/2006/main" id="161" name="Table5789243066120162" displayName="Table5789243066120162" ref="L4:L6" headerRowCount="0" totalsRowShown="0" headerRowDxfId="123" dataDxfId="122">
  <tableColumns count="1">
    <tableColumn id="1" name="Column1" dataDxfId="121"/>
  </tableColumns>
  <tableStyleInfo name="TableStyleLight1" showFirstColumn="0" showLastColumn="0" showRowStripes="1" showColumnStripes="0"/>
</table>
</file>

<file path=xl/tables/table60.xml><?xml version="1.0" encoding="utf-8"?>
<table xmlns="http://schemas.openxmlformats.org/spreadsheetml/2006/main" id="162" name="Table7323167121163" displayName="Table7323167121163" ref="N4:S5" headerRowCount="0" totalsRowShown="0" headerRowDxfId="120" dataDxfId="119">
  <tableColumns count="6">
    <tableColumn id="1" name="Column1" dataDxfId="118"/>
    <tableColumn id="2" name="Column2" dataDxfId="117"/>
    <tableColumn id="3" name="Column3" dataDxfId="116"/>
    <tableColumn id="4" name="Column4" dataDxfId="115"/>
    <tableColumn id="5" name="Column5" headerRowDxfId="114" dataDxfId="113"/>
    <tableColumn id="6" name="Column6" headerRowDxfId="112" dataDxfId="111"/>
  </tableColumns>
  <tableStyleInfo name="TableStyleDark9" showFirstColumn="0" showLastColumn="0" showRowStripes="1" showColumnStripes="0"/>
</table>
</file>

<file path=xl/tables/table61.xml><?xml version="1.0" encoding="utf-8"?>
<table xmlns="http://schemas.openxmlformats.org/spreadsheetml/2006/main" id="1" name="Table5732013621162" displayName="Table5732013621162" ref="K26:N28" headerRowCount="0" totalsRowShown="0" headerRowDxfId="110" dataDxfId="109">
  <tableColumns count="4">
    <tableColumn id="1" name="Column1" dataDxfId="108"/>
    <tableColumn id="2" name="Column2" dataDxfId="107"/>
    <tableColumn id="3" name="Column3" dataDxfId="106"/>
    <tableColumn id="4" name="Column4" dataDxfId="105"/>
  </tableColumns>
  <tableStyleInfo name="TableStyleDark1" showFirstColumn="0" showLastColumn="0" showRowStripes="1" showColumnStripes="0"/>
</table>
</file>

<file path=xl/tables/table62.xml><?xml version="1.0" encoding="utf-8"?>
<table xmlns="http://schemas.openxmlformats.org/spreadsheetml/2006/main" id="2" name="Table52127631173" displayName="Table52127631173" ref="K9:K11" headerRowCount="0" totalsRowShown="0" headerRowDxfId="104" dataDxfId="103">
  <tableColumns count="1">
    <tableColumn id="1" name="Column1" dataDxfId="102"/>
  </tableColumns>
  <tableStyleInfo name="TableStyleLight3" showFirstColumn="0" showLastColumn="0" showRowStripes="1" showColumnStripes="0"/>
</table>
</file>

<file path=xl/tables/table63.xml><?xml version="1.0" encoding="utf-8"?>
<table xmlns="http://schemas.openxmlformats.org/spreadsheetml/2006/main" id="3" name="Table572228641184" displayName="Table572228641184" ref="L9:L11" headerRowCount="0" totalsRowShown="0" headerRowDxfId="101" dataDxfId="100">
  <tableColumns count="1">
    <tableColumn id="1" name="Column1" dataDxfId="99"/>
  </tableColumns>
  <tableStyleInfo name="TableStyleLight7" showFirstColumn="0" showLastColumn="0" showRowStripes="1" showColumnStripes="0"/>
</table>
</file>

<file path=xl/tables/table64.xml><?xml version="1.0" encoding="utf-8"?>
<table xmlns="http://schemas.openxmlformats.org/spreadsheetml/2006/main" id="4" name="Table5782329651195" displayName="Table5782329651195" ref="K4:K6" headerRowCount="0" totalsRowShown="0" headerRowDxfId="98" dataDxfId="97">
  <tableColumns count="1">
    <tableColumn id="1" name="Column1" dataDxfId="96"/>
  </tableColumns>
  <tableStyleInfo name="TableStyleLight2" showFirstColumn="0" showLastColumn="0" showRowStripes="1" showColumnStripes="0"/>
</table>
</file>

<file path=xl/tables/table65.xml><?xml version="1.0" encoding="utf-8"?>
<table xmlns="http://schemas.openxmlformats.org/spreadsheetml/2006/main" id="5" name="Table57892430661206" displayName="Table57892430661206" ref="L4:L6" headerRowCount="0" totalsRowShown="0" headerRowDxfId="95" dataDxfId="94">
  <tableColumns count="1">
    <tableColumn id="1" name="Column1" dataDxfId="93"/>
  </tableColumns>
  <tableStyleInfo name="TableStyleLight1" showFirstColumn="0" showLastColumn="0" showRowStripes="1" showColumnStripes="0"/>
</table>
</file>

<file path=xl/tables/table66.xml><?xml version="1.0" encoding="utf-8"?>
<table xmlns="http://schemas.openxmlformats.org/spreadsheetml/2006/main" id="6" name="Table73231671217" displayName="Table73231671217" ref="N4:S5" headerRowCount="0" totalsRowShown="0" headerRowDxfId="92" dataDxfId="91">
  <tableColumns count="6">
    <tableColumn id="1" name="Column1" dataDxfId="90"/>
    <tableColumn id="2" name="Column2" dataDxfId="89"/>
    <tableColumn id="3" name="Column3" dataDxfId="88"/>
    <tableColumn id="4" name="Column4" dataDxfId="87"/>
    <tableColumn id="5" name="Column5" headerRowDxfId="86" dataDxfId="85"/>
    <tableColumn id="6" name="Column6" headerRowDxfId="84" dataDxfId="83"/>
  </tableColumns>
  <tableStyleInfo name="TableStyleDark9" showFirstColumn="0" showLastColumn="0" showRowStripes="1" showColumnStripes="0"/>
</table>
</file>

<file path=xl/tables/table67.xml><?xml version="1.0" encoding="utf-8"?>
<table xmlns="http://schemas.openxmlformats.org/spreadsheetml/2006/main" id="19" name="Table5732013621162820" displayName="Table5732013621162820" ref="K26:N28" headerRowCount="0" totalsRowShown="0" headerRowDxfId="27" dataDxfId="26">
  <tableColumns count="4">
    <tableColumn id="1" name="Column1" dataDxfId="25"/>
    <tableColumn id="2" name="Column2" dataDxfId="24"/>
    <tableColumn id="3" name="Column3" dataDxfId="23"/>
    <tableColumn id="4" name="Column4" dataDxfId="22"/>
  </tableColumns>
  <tableStyleInfo name="TableStyleDark1" showFirstColumn="0" showLastColumn="0" showRowStripes="1" showColumnStripes="0"/>
</table>
</file>

<file path=xl/tables/table68.xml><?xml version="1.0" encoding="utf-8"?>
<table xmlns="http://schemas.openxmlformats.org/spreadsheetml/2006/main" id="20" name="Table52127631173921" displayName="Table52127631173921" ref="K9:K11" headerRowCount="0" totalsRowShown="0" headerRowDxfId="21" dataDxfId="20">
  <tableColumns count="1">
    <tableColumn id="1" name="Column1" dataDxfId="19"/>
  </tableColumns>
  <tableStyleInfo name="TableStyleLight3" showFirstColumn="0" showLastColumn="0" showRowStripes="1" showColumnStripes="0"/>
</table>
</file>

<file path=xl/tables/table69.xml><?xml version="1.0" encoding="utf-8"?>
<table xmlns="http://schemas.openxmlformats.org/spreadsheetml/2006/main" id="21" name="Table5722286411841022" displayName="Table5722286411841022" ref="L9:L11" headerRowCount="0" totalsRowShown="0" headerRowDxfId="18" dataDxfId="17">
  <tableColumns count="1">
    <tableColumn id="1" name="Column1" dataDxfId="16"/>
  </tableColumns>
  <tableStyleInfo name="TableStyleLight7" showFirstColumn="0" showLastColumn="0" showRowStripes="1" showColumnStripes="0"/>
</table>
</file>

<file path=xl/tables/table70.xml><?xml version="1.0" encoding="utf-8"?>
<table xmlns="http://schemas.openxmlformats.org/spreadsheetml/2006/main" id="22" name="Table57823296511951123" displayName="Table57823296511951123" ref="K4:K6" headerRowCount="0" totalsRowShown="0" headerRowDxfId="15" dataDxfId="14">
  <tableColumns count="1">
    <tableColumn id="1" name="Column1" dataDxfId="13"/>
  </tableColumns>
  <tableStyleInfo name="TableStyleLight2" showFirstColumn="0" showLastColumn="0" showRowStripes="1" showColumnStripes="0"/>
</table>
</file>

<file path=xl/tables/table71.xml><?xml version="1.0" encoding="utf-8"?>
<table xmlns="http://schemas.openxmlformats.org/spreadsheetml/2006/main" id="23" name="Table578924306612061224" displayName="Table578924306612061224" ref="L4:L6" headerRowCount="0" totalsRowShown="0" headerRowDxfId="12" dataDxfId="11">
  <tableColumns count="1">
    <tableColumn id="1" name="Column1" dataDxfId="10"/>
  </tableColumns>
  <tableStyleInfo name="TableStyleLight1" showFirstColumn="0" showLastColumn="0" showRowStripes="1" showColumnStripes="0"/>
</table>
</file>

<file path=xl/tables/table72.xml><?xml version="1.0" encoding="utf-8"?>
<table xmlns="http://schemas.openxmlformats.org/spreadsheetml/2006/main" id="24" name="Table732316712171325" displayName="Table732316712171325" ref="N4:S5" headerRowCount="0" totalsRowShown="0" headerRowDxfId="9" dataDxfId="8">
  <tableColumns count="6">
    <tableColumn id="1" name="Column1" dataDxfId="7"/>
    <tableColumn id="2" name="Column2" dataDxfId="6"/>
    <tableColumn id="3" name="Column3" dataDxfId="5"/>
    <tableColumn id="4" name="Column4" dataDxfId="4"/>
    <tableColumn id="5" name="Column5" headerRowDxfId="3" dataDxfId="2"/>
    <tableColumn id="6" name="Column6" headerRowDxfId="1" dataDxfId="0"/>
  </tableColumns>
  <tableStyleInfo name="TableStyleDark9" showFirstColumn="0" showLastColumn="0" showRowStripes="1" showColumnStripes="0"/>
</table>
</file>

<file path=xl/tables/table73.xml><?xml version="1.0" encoding="utf-8"?>
<table xmlns="http://schemas.openxmlformats.org/spreadsheetml/2006/main" id="7" name="Table57320136211628" displayName="Table57320136211628" ref="K26:N28" headerRowCount="0" totalsRowShown="0" headerRowDxfId="55" dataDxfId="54">
  <tableColumns count="4">
    <tableColumn id="1" name="Column1" dataDxfId="53"/>
    <tableColumn id="2" name="Column2" dataDxfId="52"/>
    <tableColumn id="3" name="Column3" dataDxfId="51"/>
    <tableColumn id="4" name="Column4" dataDxfId="50"/>
  </tableColumns>
  <tableStyleInfo name="TableStyleDark1" showFirstColumn="0" showLastColumn="0" showRowStripes="1" showColumnStripes="0"/>
</table>
</file>

<file path=xl/tables/table74.xml><?xml version="1.0" encoding="utf-8"?>
<table xmlns="http://schemas.openxmlformats.org/spreadsheetml/2006/main" id="8" name="Table521276311739" displayName="Table521276311739" ref="K9:K11" headerRowCount="0" totalsRowShown="0" headerRowDxfId="49" dataDxfId="48">
  <tableColumns count="1">
    <tableColumn id="1" name="Column1" dataDxfId="47"/>
  </tableColumns>
  <tableStyleInfo name="TableStyleLight3" showFirstColumn="0" showLastColumn="0" showRowStripes="1" showColumnStripes="0"/>
</table>
</file>

<file path=xl/tables/table75.xml><?xml version="1.0" encoding="utf-8"?>
<table xmlns="http://schemas.openxmlformats.org/spreadsheetml/2006/main" id="9" name="Table57222864118410" displayName="Table57222864118410" ref="L9:L11" headerRowCount="0" totalsRowShown="0" headerRowDxfId="46" dataDxfId="45">
  <tableColumns count="1">
    <tableColumn id="1" name="Column1" dataDxfId="44"/>
  </tableColumns>
  <tableStyleInfo name="TableStyleLight7" showFirstColumn="0" showLastColumn="0" showRowStripes="1" showColumnStripes="0"/>
</table>
</file>

<file path=xl/tables/table76.xml><?xml version="1.0" encoding="utf-8"?>
<table xmlns="http://schemas.openxmlformats.org/spreadsheetml/2006/main" id="10" name="Table578232965119511" displayName="Table578232965119511" ref="K4:K6" headerRowCount="0" totalsRowShown="0" headerRowDxfId="43" dataDxfId="42">
  <tableColumns count="1">
    <tableColumn id="1" name="Column1" dataDxfId="41"/>
  </tableColumns>
  <tableStyleInfo name="TableStyleLight2" showFirstColumn="0" showLastColumn="0" showRowStripes="1" showColumnStripes="0"/>
</table>
</file>

<file path=xl/tables/table77.xml><?xml version="1.0" encoding="utf-8"?>
<table xmlns="http://schemas.openxmlformats.org/spreadsheetml/2006/main" id="11" name="Table5789243066120612" displayName="Table5789243066120612" ref="L4:L6" headerRowCount="0" totalsRowShown="0" headerRowDxfId="40" dataDxfId="39">
  <tableColumns count="1">
    <tableColumn id="1" name="Column1" dataDxfId="38"/>
  </tableColumns>
  <tableStyleInfo name="TableStyleLight1" showFirstColumn="0" showLastColumn="0" showRowStripes="1" showColumnStripes="0"/>
</table>
</file>

<file path=xl/tables/table78.xml><?xml version="1.0" encoding="utf-8"?>
<table xmlns="http://schemas.openxmlformats.org/spreadsheetml/2006/main" id="12" name="Table7323167121713" displayName="Table7323167121713" ref="N4:S5" headerRowCount="0" totalsRowShown="0" headerRowDxfId="37" dataDxfId="36">
  <tableColumns count="6">
    <tableColumn id="1" name="Column1" dataDxfId="35"/>
    <tableColumn id="2" name="Column2" dataDxfId="34"/>
    <tableColumn id="3" name="Column3" dataDxfId="33"/>
    <tableColumn id="4" name="Column4" dataDxfId="32"/>
    <tableColumn id="5" name="Column5" headerRowDxfId="31" dataDxfId="30"/>
    <tableColumn id="6" name="Column6" headerRowDxfId="29" dataDxfId="28"/>
  </tableColumns>
  <tableStyleInfo name="TableStyleDark9" showFirstColumn="0" showLastColumn="0" showRowStripes="1" showColumnStripes="0"/>
</table>
</file>

<file path=xl/tables/table79.xml><?xml version="1.0" encoding="utf-8"?>
<table xmlns="http://schemas.openxmlformats.org/spreadsheetml/2006/main" id="13" name="Table5735011014" displayName="Table5735011014" ref="K26:N27" headerRowCount="0" totalsRowShown="0" headerRowDxfId="82" dataDxfId="81">
  <tableColumns count="4">
    <tableColumn id="1" name="Column1" dataDxfId="80"/>
    <tableColumn id="2" name="Column2" dataDxfId="79"/>
    <tableColumn id="3" name="Column3" dataDxfId="78"/>
    <tableColumn id="4" name="Column4" dataDxfId="77"/>
  </tableColumns>
  <tableStyleInfo name="TableStyleDark1" showFirstColumn="0" showLastColumn="0" showRowStripes="1" showColumnStripes="0"/>
</table>
</file>

<file path=xl/tables/table80.xml><?xml version="1.0" encoding="utf-8"?>
<table xmlns="http://schemas.openxmlformats.org/spreadsheetml/2006/main" id="14" name="Table55111115" displayName="Table55111115" ref="K9:K11" headerRowCount="0" totalsRowShown="0" headerRowDxfId="76" dataDxfId="75">
  <tableColumns count="1">
    <tableColumn id="1" name="Column1" dataDxfId="74"/>
  </tableColumns>
  <tableStyleInfo name="TableStyleLight3" showFirstColumn="0" showLastColumn="0" showRowStripes="1" showColumnStripes="0"/>
</table>
</file>

<file path=xl/tables/table81.xml><?xml version="1.0" encoding="utf-8"?>
<table xmlns="http://schemas.openxmlformats.org/spreadsheetml/2006/main" id="15" name="Table575211216" displayName="Table575211216" ref="L9:L11" headerRowCount="0" totalsRowShown="0" headerRowDxfId="73" dataDxfId="72">
  <tableColumns count="1">
    <tableColumn id="1" name="Column1" dataDxfId="71"/>
  </tableColumns>
  <tableStyleInfo name="TableStyleLight7" showFirstColumn="0" showLastColumn="0" showRowStripes="1" showColumnStripes="0"/>
</table>
</file>

<file path=xl/tables/table82.xml><?xml version="1.0" encoding="utf-8"?>
<table xmlns="http://schemas.openxmlformats.org/spreadsheetml/2006/main" id="16" name="Table5785311317" displayName="Table5785311317" ref="K4:K6" headerRowCount="0" totalsRowShown="0" headerRowDxfId="70" dataDxfId="69">
  <tableColumns count="1">
    <tableColumn id="1" name="Column1" dataDxfId="68"/>
  </tableColumns>
  <tableStyleInfo name="TableStyleLight2" showFirstColumn="0" showLastColumn="0" showRowStripes="1" showColumnStripes="0"/>
</table>
</file>

<file path=xl/tables/table83.xml><?xml version="1.0" encoding="utf-8"?>
<table xmlns="http://schemas.openxmlformats.org/spreadsheetml/2006/main" id="17" name="Table57895411418" displayName="Table57895411418" ref="L4:L6" headerRowCount="0" totalsRowShown="0" headerRowDxfId="67" dataDxfId="66">
  <tableColumns count="1">
    <tableColumn id="1" name="Column1" dataDxfId="65"/>
  </tableColumns>
  <tableStyleInfo name="TableStyleLight1" showFirstColumn="0" showLastColumn="0" showRowStripes="1" showColumnStripes="0"/>
</table>
</file>

<file path=xl/tables/table84.xml><?xml version="1.0" encoding="utf-8"?>
<table xmlns="http://schemas.openxmlformats.org/spreadsheetml/2006/main" id="18" name="Table735511519" displayName="Table735511519" ref="P4:U5" headerRowCount="0" totalsRowShown="0" headerRowDxfId="64">
  <tableColumns count="6">
    <tableColumn id="1" name="Column1" dataDxfId="63"/>
    <tableColumn id="2" name="Column2" dataDxfId="62"/>
    <tableColumn id="3" name="Column3" dataDxfId="61"/>
    <tableColumn id="4" name="Column4" dataDxfId="60"/>
    <tableColumn id="5" name="Column5" headerRowDxfId="59" dataDxfId="58"/>
    <tableColumn id="6" name="Column6" headerRowDxfId="57" dataDxfId="56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image" Target="../media/image1.emf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ontrol" Target="../activeX/activeX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image" Target="../media/image2.emf"/><Relationship Id="rId9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control" Target="../activeX/activeX3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image" Target="../media/image3.emf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3" Type="http://schemas.openxmlformats.org/officeDocument/2006/relationships/control" Target="../activeX/activeX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10" Type="http://schemas.openxmlformats.org/officeDocument/2006/relationships/table" Target="../tables/table24.xml"/><Relationship Id="rId4" Type="http://schemas.openxmlformats.org/officeDocument/2006/relationships/image" Target="../media/image4.emf"/><Relationship Id="rId9" Type="http://schemas.openxmlformats.org/officeDocument/2006/relationships/table" Target="../tables/table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control" Target="../activeX/activeX5.xml"/><Relationship Id="rId7" Type="http://schemas.openxmlformats.org/officeDocument/2006/relationships/table" Target="../tables/table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10" Type="http://schemas.openxmlformats.org/officeDocument/2006/relationships/table" Target="../tables/table30.xml"/><Relationship Id="rId4" Type="http://schemas.openxmlformats.org/officeDocument/2006/relationships/image" Target="../media/image5.emf"/><Relationship Id="rId9" Type="http://schemas.openxmlformats.org/officeDocument/2006/relationships/table" Target="../tables/table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4.xml"/><Relationship Id="rId3" Type="http://schemas.openxmlformats.org/officeDocument/2006/relationships/control" Target="../activeX/activeX6.xml"/><Relationship Id="rId7" Type="http://schemas.openxmlformats.org/officeDocument/2006/relationships/table" Target="../tables/table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10" Type="http://schemas.openxmlformats.org/officeDocument/2006/relationships/table" Target="../tables/table36.xml"/><Relationship Id="rId4" Type="http://schemas.openxmlformats.org/officeDocument/2006/relationships/image" Target="../media/image6.emf"/><Relationship Id="rId9" Type="http://schemas.openxmlformats.org/officeDocument/2006/relationships/table" Target="../tables/table3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control" Target="../activeX/activeX7.xml"/><Relationship Id="rId7" Type="http://schemas.openxmlformats.org/officeDocument/2006/relationships/table" Target="../tables/table3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image" Target="../media/image7.emf"/><Relationship Id="rId9" Type="http://schemas.openxmlformats.org/officeDocument/2006/relationships/table" Target="../tables/table4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6.xml"/><Relationship Id="rId3" Type="http://schemas.openxmlformats.org/officeDocument/2006/relationships/control" Target="../activeX/activeX8.xml"/><Relationship Id="rId7" Type="http://schemas.openxmlformats.org/officeDocument/2006/relationships/table" Target="../tables/table4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10" Type="http://schemas.openxmlformats.org/officeDocument/2006/relationships/table" Target="../tables/table48.xml"/><Relationship Id="rId4" Type="http://schemas.openxmlformats.org/officeDocument/2006/relationships/image" Target="../media/image8.emf"/><Relationship Id="rId9" Type="http://schemas.openxmlformats.org/officeDocument/2006/relationships/table" Target="../tables/table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2.xml"/><Relationship Id="rId3" Type="http://schemas.openxmlformats.org/officeDocument/2006/relationships/control" Target="../activeX/activeX9.xml"/><Relationship Id="rId7" Type="http://schemas.openxmlformats.org/officeDocument/2006/relationships/table" Target="../tables/table5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10" Type="http://schemas.openxmlformats.org/officeDocument/2006/relationships/table" Target="../tables/table54.xml"/><Relationship Id="rId4" Type="http://schemas.openxmlformats.org/officeDocument/2006/relationships/image" Target="../media/image9.emf"/><Relationship Id="rId9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8.xml"/><Relationship Id="rId3" Type="http://schemas.openxmlformats.org/officeDocument/2006/relationships/control" Target="../activeX/activeX10.xml"/><Relationship Id="rId7" Type="http://schemas.openxmlformats.org/officeDocument/2006/relationships/table" Target="../tables/table5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table" Target="../tables/table56.xml"/><Relationship Id="rId5" Type="http://schemas.openxmlformats.org/officeDocument/2006/relationships/table" Target="../tables/table55.xml"/><Relationship Id="rId10" Type="http://schemas.openxmlformats.org/officeDocument/2006/relationships/table" Target="../tables/table60.xml"/><Relationship Id="rId4" Type="http://schemas.openxmlformats.org/officeDocument/2006/relationships/image" Target="../media/image10.emf"/><Relationship Id="rId9" Type="http://schemas.openxmlformats.org/officeDocument/2006/relationships/table" Target="../tables/table5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4.xml"/><Relationship Id="rId3" Type="http://schemas.openxmlformats.org/officeDocument/2006/relationships/control" Target="../activeX/activeX11.xml"/><Relationship Id="rId7" Type="http://schemas.openxmlformats.org/officeDocument/2006/relationships/table" Target="../tables/table6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10" Type="http://schemas.openxmlformats.org/officeDocument/2006/relationships/table" Target="../tables/table66.xml"/><Relationship Id="rId4" Type="http://schemas.openxmlformats.org/officeDocument/2006/relationships/image" Target="../media/image11.emf"/><Relationship Id="rId9" Type="http://schemas.openxmlformats.org/officeDocument/2006/relationships/table" Target="../tables/table6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0.xml"/><Relationship Id="rId3" Type="http://schemas.openxmlformats.org/officeDocument/2006/relationships/control" Target="../activeX/activeX12.xml"/><Relationship Id="rId7" Type="http://schemas.openxmlformats.org/officeDocument/2006/relationships/table" Target="../tables/table6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table" Target="../tables/table68.xml"/><Relationship Id="rId5" Type="http://schemas.openxmlformats.org/officeDocument/2006/relationships/table" Target="../tables/table67.xml"/><Relationship Id="rId10" Type="http://schemas.openxmlformats.org/officeDocument/2006/relationships/table" Target="../tables/table72.xml"/><Relationship Id="rId4" Type="http://schemas.openxmlformats.org/officeDocument/2006/relationships/image" Target="../media/image12.emf"/><Relationship Id="rId9" Type="http://schemas.openxmlformats.org/officeDocument/2006/relationships/table" Target="../tables/table7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6.xml"/><Relationship Id="rId3" Type="http://schemas.openxmlformats.org/officeDocument/2006/relationships/control" Target="../activeX/activeX13.xml"/><Relationship Id="rId7" Type="http://schemas.openxmlformats.org/officeDocument/2006/relationships/table" Target="../tables/table7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table" Target="../tables/table74.xml"/><Relationship Id="rId5" Type="http://schemas.openxmlformats.org/officeDocument/2006/relationships/table" Target="../tables/table73.xml"/><Relationship Id="rId10" Type="http://schemas.openxmlformats.org/officeDocument/2006/relationships/table" Target="../tables/table78.xml"/><Relationship Id="rId4" Type="http://schemas.openxmlformats.org/officeDocument/2006/relationships/image" Target="../media/image13.emf"/><Relationship Id="rId9" Type="http://schemas.openxmlformats.org/officeDocument/2006/relationships/table" Target="../tables/table7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1.xml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8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9.xml"/><Relationship Id="rId11" Type="http://schemas.openxmlformats.org/officeDocument/2006/relationships/table" Target="../tables/table84.xml"/><Relationship Id="rId5" Type="http://schemas.openxmlformats.org/officeDocument/2006/relationships/image" Target="../media/image14.emf"/><Relationship Id="rId10" Type="http://schemas.openxmlformats.org/officeDocument/2006/relationships/table" Target="../tables/table83.xml"/><Relationship Id="rId4" Type="http://schemas.openxmlformats.org/officeDocument/2006/relationships/control" Target="../activeX/activeX14.xml"/><Relationship Id="rId9" Type="http://schemas.openxmlformats.org/officeDocument/2006/relationships/table" Target="../tables/table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30"/>
  <sheetViews>
    <sheetView showGridLines="0" workbookViewId="0">
      <selection activeCell="F30" sqref="F30:G30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 t="s">
        <v>48</v>
      </c>
      <c r="H2" s="71" t="s">
        <v>4</v>
      </c>
      <c r="I2" s="73" t="s">
        <v>48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/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1d2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/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1d2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/>
      <c r="D7" s="21" t="str">
        <f t="shared" si="0"/>
        <v>1d2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13</v>
      </c>
      <c r="H9" s="90"/>
      <c r="I9" s="91"/>
      <c r="K9" s="12"/>
      <c r="L9" s="12"/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/>
      <c r="D11" s="22" t="str">
        <f t="shared" si="1"/>
        <v>1d2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/>
      <c r="D12" s="24" t="str">
        <f t="shared" si="1"/>
        <v>1d2</v>
      </c>
      <c r="F12" s="94" t="s">
        <v>34</v>
      </c>
      <c r="G12" s="96">
        <f>8+G17</f>
        <v>8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0</v>
      </c>
      <c r="I15" s="107"/>
      <c r="J15" s="107"/>
      <c r="K15" s="107"/>
    </row>
    <row r="16" spans="2:19" ht="15.75" customHeight="1" thickBot="1" x14ac:dyDescent="0.3">
      <c r="B16" s="30" t="s">
        <v>24</v>
      </c>
      <c r="C16" s="3"/>
      <c r="D16" s="31" t="str">
        <f t="shared" si="2"/>
        <v>1d2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0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/>
      <c r="D20" s="33" t="str">
        <f t="shared" si="3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/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5</v>
      </c>
    </row>
  </sheetData>
  <mergeCells count="41"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H6:H7"/>
    <mergeCell ref="I6:I7"/>
    <mergeCell ref="K7:K8"/>
    <mergeCell ref="B8:D8"/>
    <mergeCell ref="F9:F10"/>
    <mergeCell ref="G9:I10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4337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S30"/>
  <sheetViews>
    <sheetView showGridLines="0" workbookViewId="0">
      <selection activeCell="L16" sqref="L16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17</v>
      </c>
      <c r="H2" s="71" t="s">
        <v>4</v>
      </c>
      <c r="I2" s="73">
        <v>17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>
        <v>2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1d6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1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1d4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>
        <v>4</v>
      </c>
      <c r="D7" s="21" t="str">
        <f t="shared" si="0"/>
        <v>1d10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13</v>
      </c>
      <c r="H9" s="90"/>
      <c r="I9" s="91"/>
      <c r="K9" s="12"/>
      <c r="L9" s="12"/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>
        <v>2</v>
      </c>
      <c r="D11" s="22" t="str">
        <f t="shared" si="1"/>
        <v>1d6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>
        <v>2</v>
      </c>
      <c r="D12" s="24" t="str">
        <f t="shared" si="1"/>
        <v>1d6</v>
      </c>
      <c r="F12" s="94" t="s">
        <v>34</v>
      </c>
      <c r="G12" s="96">
        <f>8+G17</f>
        <v>8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>
        <v>1</v>
      </c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1d4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0</v>
      </c>
      <c r="I15" s="131">
        <v>11</v>
      </c>
      <c r="J15" s="131"/>
      <c r="K15" s="131"/>
    </row>
    <row r="16" spans="2:19" ht="15.75" customHeight="1" thickBot="1" x14ac:dyDescent="0.3">
      <c r="B16" s="30" t="s">
        <v>24</v>
      </c>
      <c r="C16" s="3">
        <v>1</v>
      </c>
      <c r="D16" s="31" t="str">
        <f t="shared" si="2"/>
        <v>1d4</v>
      </c>
      <c r="F16" s="104"/>
      <c r="G16" s="106"/>
      <c r="I16" s="131"/>
      <c r="J16" s="131"/>
      <c r="K16" s="131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0</v>
      </c>
      <c r="I17" s="131"/>
      <c r="J17" s="131"/>
      <c r="K17" s="131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31"/>
      <c r="J18" s="131"/>
      <c r="K18" s="131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/>
      <c r="D20" s="33" t="str">
        <f t="shared" si="3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>
        <v>3</v>
      </c>
      <c r="D22" s="33" t="str">
        <f t="shared" si="3"/>
        <v>1d8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6</v>
      </c>
    </row>
  </sheetData>
  <mergeCells count="41"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H6:H7"/>
    <mergeCell ref="I6:I7"/>
    <mergeCell ref="K7:K8"/>
    <mergeCell ref="B8:D8"/>
    <mergeCell ref="F9:F10"/>
    <mergeCell ref="G9:I10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0241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S30"/>
  <sheetViews>
    <sheetView showGridLines="0" workbookViewId="0">
      <selection activeCell="M31" sqref="M31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23</v>
      </c>
      <c r="H2" s="71" t="s">
        <v>4</v>
      </c>
      <c r="I2" s="73">
        <v>23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>
        <v>4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1d10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3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1d8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>
        <v>5</v>
      </c>
      <c r="D7" s="21" t="str">
        <f t="shared" si="0"/>
        <v>2d6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13</v>
      </c>
      <c r="H9" s="90"/>
      <c r="I9" s="91"/>
      <c r="K9" s="12"/>
      <c r="L9" s="12" t="s">
        <v>93</v>
      </c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>
        <v>4</v>
      </c>
      <c r="D11" s="22" t="str">
        <f t="shared" si="1"/>
        <v>1d10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>
        <v>3</v>
      </c>
      <c r="D12" s="24" t="str">
        <f t="shared" si="1"/>
        <v>1d8</v>
      </c>
      <c r="F12" s="94" t="s">
        <v>34</v>
      </c>
      <c r="G12" s="96">
        <f>8+G17</f>
        <v>10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>
        <v>2</v>
      </c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1d6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1</v>
      </c>
      <c r="I15" s="107"/>
      <c r="J15" s="107"/>
      <c r="K15" s="107"/>
    </row>
    <row r="16" spans="2:19" ht="15.75" customHeight="1" thickBot="1" x14ac:dyDescent="0.3">
      <c r="B16" s="30" t="s">
        <v>24</v>
      </c>
      <c r="C16" s="3">
        <v>3</v>
      </c>
      <c r="D16" s="31" t="str">
        <f t="shared" si="2"/>
        <v>1d8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2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/>
      <c r="D20" s="33" t="str">
        <f t="shared" si="3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IF(ROUNDUP(F22 - (G15), 0) &gt;= 0, ROUNDUP(F22 -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4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5</v>
      </c>
    </row>
  </sheetData>
  <mergeCells count="41"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H6:H7"/>
    <mergeCell ref="I6:I7"/>
    <mergeCell ref="K7:K8"/>
    <mergeCell ref="B8:D8"/>
    <mergeCell ref="F9:F10"/>
    <mergeCell ref="G9:I10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1265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30"/>
  <sheetViews>
    <sheetView showGridLines="0" workbookViewId="0">
      <selection activeCell="F30" sqref="F30:G30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40</v>
      </c>
      <c r="H2" s="71" t="s">
        <v>4</v>
      </c>
      <c r="I2" s="73">
        <v>40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>
        <v>4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1d10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3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1d8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>
        <v>6</v>
      </c>
      <c r="D7" s="21" t="str">
        <f t="shared" si="0"/>
        <v>2d8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13</v>
      </c>
      <c r="H9" s="90"/>
      <c r="I9" s="91"/>
      <c r="K9" s="12"/>
      <c r="L9" s="12" t="s">
        <v>93</v>
      </c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>
        <v>4</v>
      </c>
      <c r="D11" s="22" t="str">
        <f t="shared" si="1"/>
        <v>1d10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>
        <v>3</v>
      </c>
      <c r="D12" s="24" t="str">
        <f t="shared" si="1"/>
        <v>1d8</v>
      </c>
      <c r="F12" s="94" t="s">
        <v>34</v>
      </c>
      <c r="G12" s="96">
        <f>8+G17</f>
        <v>12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>
        <v>2</v>
      </c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1d6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-2</v>
      </c>
      <c r="I15" s="107"/>
      <c r="J15" s="107"/>
      <c r="K15" s="107"/>
    </row>
    <row r="16" spans="2:19" ht="15.75" customHeight="1" thickBot="1" x14ac:dyDescent="0.3">
      <c r="B16" s="30" t="s">
        <v>24</v>
      </c>
      <c r="C16" s="3">
        <v>3</v>
      </c>
      <c r="D16" s="31" t="str">
        <f t="shared" si="2"/>
        <v>1d8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4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/>
      <c r="D20" s="33" t="str">
        <f t="shared" si="3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IF(ROUNDUP(F22 - (G15), 0) &gt;= 0, ROUNDUP(F22 -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1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ht="15" customHeight="1" x14ac:dyDescent="0.25">
      <c r="F27" s="88" t="s">
        <v>99</v>
      </c>
      <c r="G27" s="132">
        <v>1</v>
      </c>
      <c r="K27" s="12"/>
      <c r="L27" s="39"/>
      <c r="M27" s="12"/>
      <c r="N27" s="12"/>
    </row>
    <row r="28" spans="2:14" ht="15" customHeight="1" thickBot="1" x14ac:dyDescent="0.3">
      <c r="F28" s="89"/>
      <c r="G28" s="133"/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5</v>
      </c>
    </row>
  </sheetData>
  <mergeCells count="43">
    <mergeCell ref="M24:M25"/>
    <mergeCell ref="N24:N25"/>
    <mergeCell ref="F25:F26"/>
    <mergeCell ref="G25:G26"/>
    <mergeCell ref="F27:F28"/>
    <mergeCell ref="G27:G28"/>
    <mergeCell ref="L24:L25"/>
    <mergeCell ref="F20:I20"/>
    <mergeCell ref="G21:I21"/>
    <mergeCell ref="F22:F23"/>
    <mergeCell ref="G22:I23"/>
    <mergeCell ref="K24:K25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H6:H7"/>
    <mergeCell ref="I6:I7"/>
    <mergeCell ref="K7:K8"/>
    <mergeCell ref="B8:D8"/>
    <mergeCell ref="F9:F10"/>
    <mergeCell ref="G9:I10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2289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31"/>
  <sheetViews>
    <sheetView showGridLines="0" topLeftCell="A4" workbookViewId="0">
      <selection activeCell="F28" sqref="F28:G28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7.28515625" customWidth="1"/>
    <col min="13" max="13" width="13.85546875" bestFit="1" customWidth="1"/>
    <col min="14" max="14" width="11" customWidth="1"/>
    <col min="15" max="15" width="1.5703125" customWidth="1"/>
    <col min="16" max="16" width="14.5703125" bestFit="1" customWidth="1"/>
    <col min="17" max="17" width="13.42578125" customWidth="1"/>
    <col min="18" max="18" width="37.42578125" customWidth="1"/>
    <col min="19" max="19" width="9.5703125" customWidth="1"/>
    <col min="20" max="20" width="11.85546875" bestFit="1" customWidth="1"/>
    <col min="21" max="21" width="20.28515625" bestFit="1" customWidth="1"/>
  </cols>
  <sheetData>
    <row r="1" spans="2:21" ht="3.75" customHeight="1" thickBot="1" x14ac:dyDescent="0.3"/>
    <row r="2" spans="2:21" ht="15.75" customHeight="1" x14ac:dyDescent="0.25">
      <c r="B2" s="64" t="s">
        <v>14</v>
      </c>
      <c r="C2" s="65"/>
      <c r="D2" s="66"/>
      <c r="F2" s="67" t="s">
        <v>3</v>
      </c>
      <c r="G2" s="69">
        <v>24</v>
      </c>
      <c r="H2" s="71" t="s">
        <v>4</v>
      </c>
      <c r="I2" s="73">
        <v>24</v>
      </c>
      <c r="K2" s="75" t="s">
        <v>45</v>
      </c>
      <c r="L2" s="51" t="s">
        <v>46</v>
      </c>
      <c r="P2" s="52" t="s">
        <v>59</v>
      </c>
      <c r="Q2" s="52"/>
      <c r="R2" s="52"/>
      <c r="S2" s="52"/>
      <c r="T2" s="52"/>
      <c r="U2" s="52"/>
    </row>
    <row r="3" spans="2:21" ht="15" customHeight="1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P3" s="40" t="str">
        <f>IF(M1=0,"Name","Nome")</f>
        <v>Name</v>
      </c>
      <c r="Q3" s="40" t="s">
        <v>60</v>
      </c>
      <c r="R3" s="40" t="str">
        <f>IF(M1=0,"Effect","Efeito")</f>
        <v>Effect</v>
      </c>
      <c r="S3" s="40" t="str">
        <f>IF(M1=0,"Defense","Defesa")</f>
        <v>Defense</v>
      </c>
      <c r="T3" s="41" t="s">
        <v>61</v>
      </c>
      <c r="U3" s="41" t="s">
        <v>62</v>
      </c>
    </row>
    <row r="4" spans="2:21" ht="15" customHeight="1" x14ac:dyDescent="0.25">
      <c r="B4" s="53" t="s">
        <v>16</v>
      </c>
      <c r="C4" s="54"/>
      <c r="D4" s="55"/>
      <c r="F4" s="56" t="s">
        <v>5</v>
      </c>
      <c r="G4" s="58">
        <v>9</v>
      </c>
      <c r="H4" s="60" t="s">
        <v>4</v>
      </c>
      <c r="I4" s="62">
        <v>9</v>
      </c>
      <c r="K4" s="12" t="s">
        <v>40</v>
      </c>
      <c r="L4" s="12"/>
      <c r="P4" s="12" t="s">
        <v>67</v>
      </c>
      <c r="Q4" s="12" t="s">
        <v>66</v>
      </c>
      <c r="R4" s="39" t="s">
        <v>68</v>
      </c>
      <c r="S4" s="39" t="s">
        <v>65</v>
      </c>
      <c r="T4" s="42" t="s">
        <v>64</v>
      </c>
      <c r="U4" s="39" t="s">
        <v>63</v>
      </c>
    </row>
    <row r="5" spans="2:21" ht="15.75" customHeight="1" thickBot="1" x14ac:dyDescent="0.3">
      <c r="B5" s="16" t="s">
        <v>7</v>
      </c>
      <c r="C5" s="9">
        <v>4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1d10</v>
      </c>
      <c r="F5" s="57"/>
      <c r="G5" s="59"/>
      <c r="H5" s="61"/>
      <c r="I5" s="63"/>
      <c r="K5" s="12"/>
      <c r="L5" s="12"/>
      <c r="P5" s="12" t="s">
        <v>67</v>
      </c>
      <c r="Q5" s="12" t="s">
        <v>66</v>
      </c>
      <c r="R5" s="39" t="s">
        <v>71</v>
      </c>
      <c r="S5" s="39" t="s">
        <v>65</v>
      </c>
      <c r="T5" s="42" t="s">
        <v>72</v>
      </c>
      <c r="U5" s="39" t="s">
        <v>63</v>
      </c>
    </row>
    <row r="6" spans="2:21" x14ac:dyDescent="0.25">
      <c r="B6" s="18" t="s">
        <v>12</v>
      </c>
      <c r="C6" s="10">
        <v>1</v>
      </c>
      <c r="D6" s="19" t="str">
        <f>IF($C6 &lt;= 0, "1d2", IF($C6 = 1, "1d4", IF($C6  = 2, "1d6", IF($C6  = 3, "1d8", IF($C6  = 4, "1d10", IF($C6  = 5, "2d6", IF($C6  = 6, "2d8", IF($C6  = 7, "2d10", IF($C6  = 8, "3d8", IF($C6  = 9, "3d10", IF($C6  = 10, "4d8", )))))))))))</f>
        <v>1d4</v>
      </c>
      <c r="F6" s="76" t="s">
        <v>37</v>
      </c>
      <c r="G6" s="78">
        <v>10</v>
      </c>
      <c r="H6" s="80" t="s">
        <v>4</v>
      </c>
      <c r="I6" s="82">
        <v>10</v>
      </c>
      <c r="K6" s="12"/>
      <c r="L6" s="12"/>
      <c r="P6" s="39"/>
      <c r="Q6" s="12"/>
      <c r="R6" s="43"/>
      <c r="S6" s="39"/>
      <c r="T6" s="12"/>
      <c r="U6" s="39"/>
    </row>
    <row r="7" spans="2:21" ht="15.75" customHeight="1" thickBot="1" x14ac:dyDescent="0.3">
      <c r="B7" s="20" t="s">
        <v>13</v>
      </c>
      <c r="C7" s="8">
        <v>1</v>
      </c>
      <c r="D7" s="21" t="str">
        <f>IF($C7 &lt;= 0, "1d2", IF($C7 = 1, "1d4", IF($C7  = 2, "1d6", IF($C7  = 3, "1d8", IF($C7  = 4, "1d10", IF($C7  = 5, "2d6", IF($C7  = 6, "2d8", IF($C7  = 7, "2d10", IF($C7  = 8, "3d8", IF($C7  = 9, "3d10", IF($C7  = 10, "4d8", )))))))))))</f>
        <v>1d4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39"/>
      <c r="Q7" s="12"/>
      <c r="R7" s="43"/>
      <c r="S7" s="39"/>
      <c r="T7" s="12"/>
      <c r="U7" s="39"/>
    </row>
    <row r="8" spans="2:21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</row>
    <row r="9" spans="2:21" ht="15" customHeight="1" x14ac:dyDescent="0.25">
      <c r="B9" s="25" t="s">
        <v>52</v>
      </c>
      <c r="C9" s="7"/>
      <c r="D9" s="22" t="str">
        <f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tr">
        <f>B20</f>
        <v>Energy</v>
      </c>
      <c r="H9" s="90"/>
      <c r="I9" s="91"/>
      <c r="K9" s="12" t="s">
        <v>43</v>
      </c>
      <c r="L9" s="12" t="s">
        <v>41</v>
      </c>
      <c r="M9" s="12"/>
      <c r="N9" s="12"/>
    </row>
    <row r="10" spans="2:21" ht="15" customHeight="1" thickBot="1" x14ac:dyDescent="0.3">
      <c r="B10" s="23" t="s">
        <v>18</v>
      </c>
      <c r="C10" s="6"/>
      <c r="D10" s="24" t="str">
        <f>IF($C10 &lt;= 0, "1d2", IF($C10 = 1, "1d4", IF($C10  = 2, "1d6", IF($C10  = 3, "1d8", IF($C10  = 4, "1d10", IF($C10  = 5, "2d6", IF($C10  = 6, "2d8", IF($C10  = 7, "2d10", IF($C10  = 8, "3d8", IF($C10  = 9, "3d10", IF($C10  = 10, "4d8", )))))))))))</f>
        <v>1d2</v>
      </c>
      <c r="F10" s="89"/>
      <c r="G10" s="92"/>
      <c r="H10" s="92"/>
      <c r="I10" s="93"/>
      <c r="K10" s="12" t="s">
        <v>42</v>
      </c>
      <c r="L10" s="12" t="s">
        <v>44</v>
      </c>
      <c r="M10" s="12"/>
      <c r="N10" s="12"/>
    </row>
    <row r="11" spans="2:21" ht="15.75" customHeight="1" thickBot="1" x14ac:dyDescent="0.3">
      <c r="B11" s="25" t="s">
        <v>19</v>
      </c>
      <c r="C11" s="7"/>
      <c r="D11" s="22" t="str">
        <f>IF($C11 &lt;= 0, "1d2", IF($C11 = 1, "1d4", IF($C11  = 2, "1d6", IF($C11  = 3, "1d8", IF($C11  = 4, "1d10", IF($C11  = 5, "2d6", IF($C11  = 6, "2d8", IF($C11  = 7, "2d10", IF($C11  = 8, "3d8", IF($C11  = 9, "3d10", IF($C11  = 10, "4d8", )))))))))))</f>
        <v>1d2</v>
      </c>
      <c r="K11" s="12"/>
      <c r="L11" s="12"/>
      <c r="M11" s="12"/>
      <c r="N11" s="12"/>
    </row>
    <row r="12" spans="2:21" ht="15.75" customHeight="1" thickBot="1" x14ac:dyDescent="0.3">
      <c r="B12" s="23" t="s">
        <v>20</v>
      </c>
      <c r="C12" s="6">
        <v>5</v>
      </c>
      <c r="D12" s="24" t="str">
        <f>IF($C12 &lt;= 0, "1d2", IF($C12 = 1, "1d4", IF($C12  = 2, "1d6", IF($C12  = 3, "1d8", IF($C12  = 4, "1d10", IF($C12  = 5, "2d6", IF($C12  = 6, "2d8", IF($C12  = 7, "2d10", IF($C12  = 8, "3d8", IF($C12  = 9, "3d10", IF($C12  = 10, "4d8", )))))))))))</f>
        <v>2d6</v>
      </c>
      <c r="F12" s="94" t="s">
        <v>34</v>
      </c>
      <c r="G12" s="96">
        <f>8+G17</f>
        <v>12</v>
      </c>
      <c r="H12" s="96"/>
      <c r="I12" s="97"/>
      <c r="M12" s="12"/>
      <c r="N12" s="12"/>
    </row>
    <row r="13" spans="2:21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21" ht="15" customHeight="1" thickBot="1" x14ac:dyDescent="0.3">
      <c r="B14" s="26" t="s">
        <v>22</v>
      </c>
      <c r="C14" s="5"/>
      <c r="D14" s="27" t="str">
        <f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21" ht="15" customHeight="1" x14ac:dyDescent="0.25">
      <c r="B15" s="28" t="s">
        <v>23</v>
      </c>
      <c r="C15" s="4"/>
      <c r="D15" s="29" t="str">
        <f>IF($C15 &lt;= 0, "1d2", IF($C15 = 1, "1d4", IF($C15  = 2, "1d6", IF($C15  = 3, "1d8", IF($C15  = 4, "1d10", IF($C15  = 5, "2d6", IF($C15  = 6, "2d8", IF($C15  = 7, "2d10", IF($C15  = 8, "3d8", IF($C15  = 9, "3d10", IF($C15  = 10, "4d8", )))))))))))</f>
        <v>1d2</v>
      </c>
      <c r="F15" s="103" t="s">
        <v>35</v>
      </c>
      <c r="G15" s="105">
        <v>0</v>
      </c>
      <c r="I15" s="107"/>
      <c r="J15" s="107"/>
      <c r="K15" s="107"/>
    </row>
    <row r="16" spans="2:21" ht="15.75" customHeight="1" thickBot="1" x14ac:dyDescent="0.3">
      <c r="B16" s="30" t="s">
        <v>24</v>
      </c>
      <c r="C16" s="3">
        <v>1</v>
      </c>
      <c r="D16" s="31" t="str">
        <f>IF($C16 &lt;= 0, "1d2", IF($C16 = 1, "1d4", IF($C16  = 2, "1d6", IF($C16  = 3, "1d8", IF($C16  = 4, "1d10", IF($C16  = 5, "2d6", IF($C16  = 6, "2d8", IF($C16  = 7, "2d10", IF($C16  = 8, "3d8", IF($C16  = 9, "3d10", IF($C16  = 10, "4d8", )))))))))))</f>
        <v>1d4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4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ref="D19:D25" si="0">IF($C19 &lt;= 0, "1d2", IF($C19 = 1, "1d4", IF($C19  = 2, "1d6", IF($C19  = 3, "1d8", IF($C19  = 4, "1d10", IF($C19  = 5, "2d6", IF($C19  = 6, "2d8", IF($C19  = 7, "2d10", IF($C19  = 8, "3d8", IF($C19  = 9, "3d10", IF($C19  = 10, "4d8", )))))))))))</f>
        <v>1d2</v>
      </c>
    </row>
    <row r="20" spans="2:14" x14ac:dyDescent="0.25">
      <c r="B20" s="32" t="s">
        <v>27</v>
      </c>
      <c r="C20" s="1">
        <v>6</v>
      </c>
      <c r="D20" s="33" t="str">
        <f t="shared" si="0"/>
        <v>2d8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0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0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0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>
        <v>3</v>
      </c>
      <c r="D24" s="33" t="str">
        <f t="shared" si="0"/>
        <v>1d8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0"/>
        <v>1d2</v>
      </c>
      <c r="F25" s="116" t="s">
        <v>33</v>
      </c>
      <c r="G25" s="118">
        <v>4</v>
      </c>
      <c r="K25" s="115"/>
      <c r="L25" s="115"/>
      <c r="M25" s="115"/>
      <c r="N25" s="115"/>
    </row>
    <row r="26" spans="2:14" ht="45.75" thickBot="1" x14ac:dyDescent="0.3">
      <c r="F26" s="117"/>
      <c r="G26" s="119"/>
      <c r="K26" s="12" t="s">
        <v>51</v>
      </c>
      <c r="L26" s="39" t="s">
        <v>47</v>
      </c>
      <c r="M26" s="39" t="s">
        <v>48</v>
      </c>
      <c r="N26" s="12" t="s">
        <v>48</v>
      </c>
    </row>
    <row r="27" spans="2:14" ht="30" x14ac:dyDescent="0.25">
      <c r="K27" s="12" t="s">
        <v>49</v>
      </c>
      <c r="L27" s="39" t="s">
        <v>50</v>
      </c>
      <c r="M27" s="39" t="s">
        <v>48</v>
      </c>
      <c r="N27" s="12" t="s">
        <v>70</v>
      </c>
    </row>
    <row r="28" spans="2:14" ht="45" x14ac:dyDescent="0.25">
      <c r="F28" s="47" t="s">
        <v>102</v>
      </c>
      <c r="G28" s="49">
        <v>5</v>
      </c>
      <c r="K28" s="12" t="s">
        <v>53</v>
      </c>
      <c r="L28" s="39" t="s">
        <v>54</v>
      </c>
      <c r="M28" s="39" t="s">
        <v>55</v>
      </c>
      <c r="N28" s="12" t="s">
        <v>48</v>
      </c>
    </row>
    <row r="29" spans="2:14" ht="30" x14ac:dyDescent="0.25">
      <c r="K29" s="12" t="s">
        <v>56</v>
      </c>
      <c r="L29" s="39" t="s">
        <v>57</v>
      </c>
      <c r="M29" s="39" t="s">
        <v>48</v>
      </c>
      <c r="N29" s="12" t="s">
        <v>69</v>
      </c>
    </row>
    <row r="30" spans="2:14" ht="45" x14ac:dyDescent="0.25">
      <c r="K30" s="12" t="s">
        <v>58</v>
      </c>
      <c r="L30" s="39" t="s">
        <v>100</v>
      </c>
      <c r="M30" s="39" t="s">
        <v>55</v>
      </c>
      <c r="N30" s="12" t="s">
        <v>48</v>
      </c>
    </row>
    <row r="31" spans="2:14" x14ac:dyDescent="0.25">
      <c r="K31" s="12"/>
      <c r="L31" s="39" t="s">
        <v>74</v>
      </c>
      <c r="M31" s="39"/>
      <c r="N31" s="12"/>
    </row>
  </sheetData>
  <mergeCells count="41">
    <mergeCell ref="M24:M25"/>
    <mergeCell ref="N24:N25"/>
    <mergeCell ref="F25:F26"/>
    <mergeCell ref="G25:G26"/>
    <mergeCell ref="P2:U2"/>
    <mergeCell ref="F20:I20"/>
    <mergeCell ref="G21:I21"/>
    <mergeCell ref="F22:F23"/>
    <mergeCell ref="G22:I23"/>
    <mergeCell ref="K24:K25"/>
    <mergeCell ref="L24:L25"/>
    <mergeCell ref="F15:F16"/>
    <mergeCell ref="G15:G16"/>
    <mergeCell ref="I15:K18"/>
    <mergeCell ref="F6:F7"/>
    <mergeCell ref="G6:G7"/>
    <mergeCell ref="B17:D17"/>
    <mergeCell ref="F17:F18"/>
    <mergeCell ref="G17:G18"/>
    <mergeCell ref="B8:D8"/>
    <mergeCell ref="F9:F10"/>
    <mergeCell ref="G9:I10"/>
    <mergeCell ref="F12:F13"/>
    <mergeCell ref="G12:I13"/>
    <mergeCell ref="B13:D13"/>
    <mergeCell ref="H6:H7"/>
    <mergeCell ref="I6:I7"/>
    <mergeCell ref="K7:K8"/>
    <mergeCell ref="L7:L8"/>
    <mergeCell ref="L2:L3"/>
    <mergeCell ref="K2:K3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3313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U31"/>
  <sheetViews>
    <sheetView showGridLines="0" workbookViewId="0">
      <selection activeCell="F30" sqref="F30:G30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7.28515625" customWidth="1"/>
    <col min="13" max="13" width="13.85546875" bestFit="1" customWidth="1"/>
    <col min="14" max="14" width="11" customWidth="1"/>
    <col min="15" max="15" width="1.5703125" customWidth="1"/>
    <col min="16" max="16" width="14.5703125" bestFit="1" customWidth="1"/>
    <col min="17" max="17" width="13.42578125" customWidth="1"/>
    <col min="18" max="18" width="37.42578125" customWidth="1"/>
    <col min="19" max="19" width="9.5703125" customWidth="1"/>
    <col min="20" max="20" width="11.85546875" bestFit="1" customWidth="1"/>
    <col min="21" max="21" width="20.28515625" bestFit="1" customWidth="1"/>
  </cols>
  <sheetData>
    <row r="1" spans="2:21" ht="3.75" customHeight="1" thickBot="1" x14ac:dyDescent="0.3"/>
    <row r="2" spans="2:21" ht="15.75" customHeight="1" x14ac:dyDescent="0.25">
      <c r="B2" s="64" t="s">
        <v>14</v>
      </c>
      <c r="C2" s="65"/>
      <c r="D2" s="66"/>
      <c r="F2" s="67" t="s">
        <v>3</v>
      </c>
      <c r="G2" s="69">
        <v>50</v>
      </c>
      <c r="H2" s="71" t="s">
        <v>4</v>
      </c>
      <c r="I2" s="73">
        <v>50</v>
      </c>
      <c r="K2" s="75" t="s">
        <v>45</v>
      </c>
      <c r="L2" s="51" t="s">
        <v>46</v>
      </c>
      <c r="P2" s="52" t="s">
        <v>59</v>
      </c>
      <c r="Q2" s="52"/>
      <c r="R2" s="52"/>
      <c r="S2" s="52"/>
      <c r="T2" s="52"/>
      <c r="U2" s="52"/>
    </row>
    <row r="3" spans="2:21" ht="15" customHeight="1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P3" s="40" t="str">
        <f>IF(M1=0,"Name","Nome")</f>
        <v>Name</v>
      </c>
      <c r="Q3" s="40" t="s">
        <v>60</v>
      </c>
      <c r="R3" s="40" t="str">
        <f>IF(M1=0,"Effect","Efeito")</f>
        <v>Effect</v>
      </c>
      <c r="S3" s="40" t="str">
        <f>IF(M1=0,"Defense","Defesa")</f>
        <v>Defense</v>
      </c>
      <c r="T3" s="41" t="s">
        <v>61</v>
      </c>
      <c r="U3" s="41" t="s">
        <v>62</v>
      </c>
    </row>
    <row r="4" spans="2:21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 t="s">
        <v>40</v>
      </c>
      <c r="L4" s="12"/>
      <c r="P4" s="12" t="s">
        <v>67</v>
      </c>
      <c r="Q4" s="12" t="s">
        <v>66</v>
      </c>
      <c r="R4" s="39" t="s">
        <v>68</v>
      </c>
      <c r="S4" s="39" t="s">
        <v>65</v>
      </c>
      <c r="T4" s="42" t="s">
        <v>64</v>
      </c>
      <c r="U4" s="39" t="s">
        <v>63</v>
      </c>
    </row>
    <row r="5" spans="2:21" ht="15.75" customHeight="1" thickBot="1" x14ac:dyDescent="0.3">
      <c r="B5" s="16" t="s">
        <v>7</v>
      </c>
      <c r="C5" s="9">
        <v>4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1d10</v>
      </c>
      <c r="F5" s="57"/>
      <c r="G5" s="59"/>
      <c r="H5" s="61"/>
      <c r="I5" s="63"/>
      <c r="K5" s="12"/>
      <c r="L5" s="12"/>
      <c r="P5" s="12" t="s">
        <v>67</v>
      </c>
      <c r="Q5" s="12" t="s">
        <v>66</v>
      </c>
      <c r="R5" s="39" t="s">
        <v>71</v>
      </c>
      <c r="S5" s="39" t="s">
        <v>65</v>
      </c>
      <c r="T5" s="42" t="s">
        <v>72</v>
      </c>
      <c r="U5" s="39" t="s">
        <v>63</v>
      </c>
    </row>
    <row r="6" spans="2:21" x14ac:dyDescent="0.25">
      <c r="B6" s="18" t="s">
        <v>12</v>
      </c>
      <c r="C6" s="10">
        <v>2</v>
      </c>
      <c r="D6" s="19" t="str">
        <f>IF($C6 &lt;= 0, "1d2", IF($C6 = 1, "1d4", IF($C6  = 2, "1d6", IF($C6  = 3, "1d8", IF($C6  = 4, "1d10", IF($C6  = 5, "2d6", IF($C6  = 6, "2d8", IF($C6  = 7, "2d10", IF($C6  = 8, "3d8", IF($C6  = 9, "3d10", IF($C6  = 10, "4d8", )))))))))))</f>
        <v>1d6</v>
      </c>
      <c r="F6" s="76" t="s">
        <v>37</v>
      </c>
      <c r="G6" s="78">
        <v>15</v>
      </c>
      <c r="H6" s="80" t="s">
        <v>4</v>
      </c>
      <c r="I6" s="82">
        <v>15</v>
      </c>
      <c r="K6" s="12"/>
      <c r="L6" s="12"/>
      <c r="P6" s="39"/>
      <c r="Q6" s="12"/>
      <c r="R6" s="43"/>
      <c r="S6" s="39"/>
      <c r="T6" s="12"/>
      <c r="U6" s="39"/>
    </row>
    <row r="7" spans="2:21" ht="15.75" customHeight="1" thickBot="1" x14ac:dyDescent="0.3">
      <c r="B7" s="20" t="s">
        <v>13</v>
      </c>
      <c r="C7" s="8">
        <v>3</v>
      </c>
      <c r="D7" s="21" t="str">
        <f>IF($C7 &lt;= 0, "1d2", IF($C7 = 1, "1d4", IF($C7  = 2, "1d6", IF($C7  = 3, "1d8", IF($C7  = 4, "1d10", IF($C7  = 5, "2d6", IF($C7  = 6, "2d8", IF($C7  = 7, "2d10", IF($C7  = 8, "3d8", IF($C7  = 9, "3d10", IF($C7  = 10, "4d8", )))))))))))</f>
        <v>1d8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39"/>
      <c r="Q7" s="12"/>
      <c r="R7" s="43"/>
      <c r="S7" s="39"/>
      <c r="T7" s="12"/>
      <c r="U7" s="39"/>
    </row>
    <row r="8" spans="2:21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</row>
    <row r="9" spans="2:21" ht="15" customHeight="1" x14ac:dyDescent="0.25">
      <c r="B9" s="25" t="s">
        <v>52</v>
      </c>
      <c r="C9" s="7"/>
      <c r="D9" s="22" t="str">
        <f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tr">
        <f>B20</f>
        <v>Energy</v>
      </c>
      <c r="H9" s="90"/>
      <c r="I9" s="91"/>
      <c r="K9" s="12" t="s">
        <v>43</v>
      </c>
      <c r="L9" s="12" t="s">
        <v>41</v>
      </c>
      <c r="M9" s="12"/>
      <c r="N9" s="12"/>
    </row>
    <row r="10" spans="2:21" ht="15" customHeight="1" thickBot="1" x14ac:dyDescent="0.3">
      <c r="B10" s="23" t="s">
        <v>18</v>
      </c>
      <c r="C10" s="6"/>
      <c r="D10" s="24" t="str">
        <f>IF($C10 &lt;= 0, "1d2", IF($C10 = 1, "1d4", IF($C10  = 2, "1d6", IF($C10  = 3, "1d8", IF($C10  = 4, "1d10", IF($C10  = 5, "2d6", IF($C10  = 6, "2d8", IF($C10  = 7, "2d10", IF($C10  = 8, "3d8", IF($C10  = 9, "3d10", IF($C10  = 10, "4d8", )))))))))))</f>
        <v>1d2</v>
      </c>
      <c r="F10" s="89"/>
      <c r="G10" s="92"/>
      <c r="H10" s="92"/>
      <c r="I10" s="93"/>
      <c r="K10" s="12" t="s">
        <v>42</v>
      </c>
      <c r="L10" s="12" t="s">
        <v>44</v>
      </c>
      <c r="M10" s="12"/>
      <c r="N10" s="12"/>
    </row>
    <row r="11" spans="2:21" ht="15.75" customHeight="1" thickBot="1" x14ac:dyDescent="0.3">
      <c r="B11" s="25" t="s">
        <v>19</v>
      </c>
      <c r="C11" s="7"/>
      <c r="D11" s="22" t="str">
        <f>IF($C11 &lt;= 0, "1d2", IF($C11 = 1, "1d4", IF($C11  = 2, "1d6", IF($C11  = 3, "1d8", IF($C11  = 4, "1d10", IF($C11  = 5, "2d6", IF($C11  = 6, "2d8", IF($C11  = 7, "2d10", IF($C11  = 8, "3d8", IF($C11  = 9, "3d10", IF($C11  = 10, "4d8", )))))))))))</f>
        <v>1d2</v>
      </c>
      <c r="K11" s="12"/>
      <c r="L11" s="12"/>
      <c r="M11" s="12"/>
      <c r="N11" s="12"/>
    </row>
    <row r="12" spans="2:21" ht="15.75" customHeight="1" thickBot="1" x14ac:dyDescent="0.3">
      <c r="B12" s="23" t="s">
        <v>20</v>
      </c>
      <c r="C12" s="6">
        <v>5</v>
      </c>
      <c r="D12" s="24" t="str">
        <f>IF($C12 &lt;= 0, "1d2", IF($C12 = 1, "1d4", IF($C12  = 2, "1d6", IF($C12  = 3, "1d8", IF($C12  = 4, "1d10", IF($C12  = 5, "2d6", IF($C12  = 6, "2d8", IF($C12  = 7, "2d10", IF($C12  = 8, "3d8", IF($C12  = 9, "3d10", IF($C12  = 10, "4d8", )))))))))))</f>
        <v>2d6</v>
      </c>
      <c r="F12" s="94" t="s">
        <v>34</v>
      </c>
      <c r="G12" s="96">
        <f>8+G17</f>
        <v>15</v>
      </c>
      <c r="H12" s="96"/>
      <c r="I12" s="97"/>
      <c r="M12" s="12"/>
      <c r="N12" s="12"/>
    </row>
    <row r="13" spans="2:21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21" ht="15" customHeight="1" thickBot="1" x14ac:dyDescent="0.3">
      <c r="B14" s="26" t="s">
        <v>22</v>
      </c>
      <c r="C14" s="5"/>
      <c r="D14" s="27" t="str">
        <f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21" ht="15" customHeight="1" x14ac:dyDescent="0.25">
      <c r="B15" s="28" t="s">
        <v>23</v>
      </c>
      <c r="C15" s="4"/>
      <c r="D15" s="29" t="str">
        <f>IF($C15 &lt;= 0, "1d2", IF($C15 = 1, "1d4", IF($C15  = 2, "1d6", IF($C15  = 3, "1d8", IF($C15  = 4, "1d10", IF($C15  = 5, "2d6", IF($C15  = 6, "2d8", IF($C15  = 7, "2d10", IF($C15  = 8, "3d8", IF($C15  = 9, "3d10", IF($C15  = 10, "4d8", )))))))))))</f>
        <v>1d2</v>
      </c>
      <c r="F15" s="103" t="s">
        <v>35</v>
      </c>
      <c r="G15" s="105">
        <v>-3</v>
      </c>
      <c r="I15" s="107"/>
      <c r="J15" s="107"/>
      <c r="K15" s="107"/>
    </row>
    <row r="16" spans="2:21" ht="15.75" customHeight="1" thickBot="1" x14ac:dyDescent="0.3">
      <c r="B16" s="30" t="s">
        <v>24</v>
      </c>
      <c r="C16" s="3">
        <v>3</v>
      </c>
      <c r="D16" s="31" t="str">
        <f>IF($C16 &lt;= 0, "1d2", IF($C16 = 1, "1d4", IF($C16  = 2, "1d6", IF($C16  = 3, "1d8", IF($C16  = 4, "1d10", IF($C16  = 5, "2d6", IF($C16  = 6, "2d8", IF($C16  = 7, "2d10", IF($C16  = 8, "3d8", IF($C16  = 9, "3d10", IF($C16  = 10, "4d8", )))))))))))</f>
        <v>1d8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7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ref="D19:D25" si="0">IF($C19 &lt;= 0, "1d2", IF($C19 = 1, "1d4", IF($C19  = 2, "1d6", IF($C19  = 3, "1d8", IF($C19  = 4, "1d10", IF($C19  = 5, "2d6", IF($C19  = 6, "2d8", IF($C19  = 7, "2d10", IF($C19  = 8, "3d8", IF($C19  = 9, "3d10", IF($C19  = 10, "4d8", )))))))))))</f>
        <v>1d2</v>
      </c>
    </row>
    <row r="20" spans="2:14" x14ac:dyDescent="0.25">
      <c r="B20" s="32" t="s">
        <v>27</v>
      </c>
      <c r="C20" s="1">
        <v>6</v>
      </c>
      <c r="D20" s="33" t="str">
        <f t="shared" si="0"/>
        <v>2d8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0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0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0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>
        <v>3</v>
      </c>
      <c r="D24" s="33" t="str">
        <f t="shared" si="0"/>
        <v>1d8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0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45.75" thickBot="1" x14ac:dyDescent="0.3">
      <c r="F26" s="117"/>
      <c r="G26" s="119"/>
      <c r="K26" s="12" t="s">
        <v>51</v>
      </c>
      <c r="L26" s="39" t="s">
        <v>47</v>
      </c>
      <c r="M26" s="39" t="s">
        <v>48</v>
      </c>
      <c r="N26" s="12" t="s">
        <v>48</v>
      </c>
    </row>
    <row r="27" spans="2:14" ht="45" x14ac:dyDescent="0.25">
      <c r="F27" s="88" t="s">
        <v>99</v>
      </c>
      <c r="G27" s="132">
        <v>1</v>
      </c>
      <c r="K27" s="12" t="s">
        <v>58</v>
      </c>
      <c r="L27" s="39" t="s">
        <v>73</v>
      </c>
      <c r="M27" s="39" t="s">
        <v>55</v>
      </c>
      <c r="N27" s="12" t="s">
        <v>48</v>
      </c>
    </row>
    <row r="28" spans="2:14" ht="45.75" thickBot="1" x14ac:dyDescent="0.3">
      <c r="F28" s="89"/>
      <c r="G28" s="133"/>
      <c r="K28" s="12" t="s">
        <v>53</v>
      </c>
      <c r="L28" s="39" t="s">
        <v>54</v>
      </c>
      <c r="M28" s="39" t="s">
        <v>55</v>
      </c>
      <c r="N28" s="12" t="s">
        <v>48</v>
      </c>
    </row>
    <row r="29" spans="2:14" x14ac:dyDescent="0.25">
      <c r="K29" s="12"/>
      <c r="L29" s="39"/>
      <c r="M29" s="39"/>
      <c r="N29" s="12"/>
    </row>
    <row r="30" spans="2:14" ht="18.75" x14ac:dyDescent="0.25">
      <c r="F30" s="47" t="s">
        <v>102</v>
      </c>
      <c r="G30" s="49">
        <v>5</v>
      </c>
      <c r="K30" s="12"/>
      <c r="L30" s="39"/>
      <c r="M30" s="39"/>
      <c r="N30" s="12"/>
    </row>
    <row r="31" spans="2:14" x14ac:dyDescent="0.25">
      <c r="K31" s="12"/>
      <c r="L31" s="39" t="s">
        <v>74</v>
      </c>
      <c r="M31" s="39"/>
      <c r="N31" s="12"/>
    </row>
  </sheetData>
  <mergeCells count="43">
    <mergeCell ref="P2:U2"/>
    <mergeCell ref="F27:F28"/>
    <mergeCell ref="G27:G28"/>
    <mergeCell ref="N24:N25"/>
    <mergeCell ref="F25:F26"/>
    <mergeCell ref="G25:G26"/>
    <mergeCell ref="G21:I21"/>
    <mergeCell ref="F22:F23"/>
    <mergeCell ref="G22:I23"/>
    <mergeCell ref="K24:K25"/>
    <mergeCell ref="L24:L25"/>
    <mergeCell ref="M24:M25"/>
    <mergeCell ref="H6:H7"/>
    <mergeCell ref="I6:I7"/>
    <mergeCell ref="K7:K8"/>
    <mergeCell ref="F20:I20"/>
    <mergeCell ref="B8:D8"/>
    <mergeCell ref="F9:F10"/>
    <mergeCell ref="G9:I10"/>
    <mergeCell ref="F12:F13"/>
    <mergeCell ref="G12:I13"/>
    <mergeCell ref="B13:D13"/>
    <mergeCell ref="F15:F16"/>
    <mergeCell ref="G15:G16"/>
    <mergeCell ref="B17:D17"/>
    <mergeCell ref="F17:F18"/>
    <mergeCell ref="G17:G18"/>
    <mergeCell ref="I15:K18"/>
    <mergeCell ref="L7:L8"/>
    <mergeCell ref="L2:L3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1:U30"/>
  <sheetViews>
    <sheetView showGridLines="0" workbookViewId="0">
      <selection activeCell="F30" sqref="F30:G30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24.140625" bestFit="1" customWidth="1"/>
    <col min="12" max="12" width="44.42578125" customWidth="1"/>
    <col min="13" max="14" width="11" customWidth="1"/>
    <col min="15" max="15" width="1.5703125" customWidth="1"/>
    <col min="16" max="16" width="18.7109375" bestFit="1" customWidth="1"/>
    <col min="17" max="17" width="17.7109375" bestFit="1" customWidth="1"/>
    <col min="18" max="18" width="25.140625" bestFit="1" customWidth="1"/>
    <col min="19" max="19" width="10.7109375" bestFit="1" customWidth="1"/>
    <col min="20" max="20" width="11.85546875" bestFit="1" customWidth="1"/>
    <col min="21" max="21" width="20.28515625" bestFit="1" customWidth="1"/>
  </cols>
  <sheetData>
    <row r="1" spans="2:21" ht="3.75" customHeight="1" thickBot="1" x14ac:dyDescent="0.3"/>
    <row r="2" spans="2:21" ht="15.75" customHeight="1" x14ac:dyDescent="0.25">
      <c r="B2" s="64" t="s">
        <v>14</v>
      </c>
      <c r="C2" s="65"/>
      <c r="D2" s="66"/>
      <c r="F2" s="67" t="s">
        <v>3</v>
      </c>
      <c r="G2" s="69">
        <v>19</v>
      </c>
      <c r="H2" s="71" t="s">
        <v>4</v>
      </c>
      <c r="I2" s="73">
        <v>19</v>
      </c>
      <c r="K2" s="75" t="s">
        <v>45</v>
      </c>
      <c r="L2" s="51" t="s">
        <v>46</v>
      </c>
      <c r="P2" s="52" t="s">
        <v>59</v>
      </c>
      <c r="Q2" s="52"/>
      <c r="R2" s="52"/>
      <c r="S2" s="52"/>
      <c r="T2" s="52"/>
      <c r="U2" s="52"/>
    </row>
    <row r="3" spans="2:21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P3" s="40" t="str">
        <f>IF(M1=0,"Name","Nome")</f>
        <v>Name</v>
      </c>
      <c r="Q3" s="40" t="s">
        <v>60</v>
      </c>
      <c r="R3" s="40" t="str">
        <f>IF(M1=0,"Effect","Efeito")</f>
        <v>Effect</v>
      </c>
      <c r="S3" s="40" t="str">
        <f>IF(M1=0,"Defense","Defesa")</f>
        <v>Defense</v>
      </c>
      <c r="T3" s="41" t="s">
        <v>61</v>
      </c>
      <c r="U3" s="41" t="s">
        <v>62</v>
      </c>
    </row>
    <row r="4" spans="2:21" ht="15" customHeight="1" x14ac:dyDescent="0.25">
      <c r="B4" s="53" t="s">
        <v>16</v>
      </c>
      <c r="C4" s="54"/>
      <c r="D4" s="55"/>
      <c r="F4" s="56" t="s">
        <v>5</v>
      </c>
      <c r="G4" s="58"/>
      <c r="H4" s="60" t="s">
        <v>4</v>
      </c>
      <c r="I4" s="62"/>
      <c r="K4" s="12"/>
      <c r="L4" s="12"/>
      <c r="P4" s="39" t="s">
        <v>76</v>
      </c>
      <c r="Q4" s="39" t="s">
        <v>66</v>
      </c>
      <c r="R4" s="39" t="s">
        <v>79</v>
      </c>
      <c r="S4" s="39" t="s">
        <v>78</v>
      </c>
      <c r="T4" s="44" t="s">
        <v>77</v>
      </c>
      <c r="U4" s="39" t="s">
        <v>63</v>
      </c>
    </row>
    <row r="5" spans="2:21" ht="15.75" customHeight="1" thickBot="1" x14ac:dyDescent="0.3">
      <c r="B5" s="16" t="s">
        <v>7</v>
      </c>
      <c r="C5" s="9">
        <v>2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1d6</v>
      </c>
      <c r="F5" s="57"/>
      <c r="G5" s="59"/>
      <c r="H5" s="61"/>
      <c r="I5" s="63"/>
      <c r="K5" s="12"/>
      <c r="L5" s="12"/>
      <c r="P5" s="39" t="s">
        <v>80</v>
      </c>
      <c r="Q5" s="39" t="s">
        <v>66</v>
      </c>
      <c r="R5" s="39" t="s">
        <v>81</v>
      </c>
      <c r="S5" s="39" t="s">
        <v>78</v>
      </c>
      <c r="T5" s="44" t="s">
        <v>77</v>
      </c>
      <c r="U5" s="39" t="s">
        <v>63</v>
      </c>
    </row>
    <row r="6" spans="2:21" x14ac:dyDescent="0.25">
      <c r="B6" s="18" t="s">
        <v>12</v>
      </c>
      <c r="C6" s="10">
        <v>2</v>
      </c>
      <c r="D6" s="19" t="str">
        <f>IF($C6 &lt;= 0, "1d2", IF($C6 = 1, "1d4", IF($C6  = 2, "1d6", IF($C6  = 3, "1d8", IF($C6  = 4, "1d10", IF($C6  = 5, "2d6", IF($C6  = 6, "2d8", IF($C6  = 7, "2d10", IF($C6  = 8, "3d8", IF($C6  = 9, "3d10", IF($C6  = 10, "4d8", )))))))))))</f>
        <v>1d6</v>
      </c>
      <c r="F6" s="76" t="s">
        <v>37</v>
      </c>
      <c r="G6" s="78"/>
      <c r="H6" s="80" t="s">
        <v>4</v>
      </c>
      <c r="I6" s="82"/>
      <c r="K6" s="12"/>
      <c r="L6" s="12"/>
      <c r="P6" s="39"/>
      <c r="Q6" s="39"/>
      <c r="R6" s="39"/>
      <c r="S6" s="39"/>
      <c r="T6" s="39"/>
      <c r="U6" s="39"/>
    </row>
    <row r="7" spans="2:21" ht="15.75" customHeight="1" thickBot="1" x14ac:dyDescent="0.3">
      <c r="B7" s="20" t="s">
        <v>13</v>
      </c>
      <c r="C7" s="8">
        <v>4</v>
      </c>
      <c r="D7" s="21" t="str">
        <f>IF($C7 &lt;= 0, "1d2", IF($C7 = 1, "1d4", IF($C7  = 2, "1d6", IF($C7  = 3, "1d8", IF($C7  = 4, "1d10", IF($C7  = 5, "2d6", IF($C7  = 6, "2d8", IF($C7  = 7, "2d10", IF($C7  = 8, "3d8", IF($C7  = 9, "3d10", IF($C7  = 10, "4d8", )))))))))))</f>
        <v>1d10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21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21" x14ac:dyDescent="0.25">
      <c r="B9" s="25" t="s">
        <v>52</v>
      </c>
      <c r="C9" s="7">
        <v>0</v>
      </c>
      <c r="D9" s="22" t="str">
        <f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tr">
        <f>B7</f>
        <v>Might</v>
      </c>
      <c r="H9" s="90"/>
      <c r="I9" s="91"/>
      <c r="K9" s="12" t="s">
        <v>40</v>
      </c>
      <c r="L9" s="12" t="s">
        <v>75</v>
      </c>
      <c r="M9" s="12"/>
      <c r="N9" s="12"/>
    </row>
    <row r="10" spans="2:21" ht="15" customHeight="1" thickBot="1" x14ac:dyDescent="0.3">
      <c r="B10" s="23" t="s">
        <v>18</v>
      </c>
      <c r="C10" s="6">
        <v>0</v>
      </c>
      <c r="D10" s="24" t="str">
        <f>IF($C10 &lt;= 0, "1d2", IF($C10 = 1, "1d4", IF($C10  = 2, "1d6", IF($C10  = 3, "1d8", IF($C10  = 4, "1d10", IF($C10  = 5, "2d6", IF($C10  = 6, "2d8", IF($C10  = 7, "2d10", IF($C10  = 8, "3d8", IF($C10  = 9, "3d10", IF($C10  = 10, "4d8", )))))))))))</f>
        <v>1d2</v>
      </c>
      <c r="F10" s="89"/>
      <c r="G10" s="92"/>
      <c r="H10" s="92"/>
      <c r="I10" s="93"/>
      <c r="K10" s="12" t="s">
        <v>43</v>
      </c>
      <c r="L10" s="12"/>
      <c r="M10" s="12"/>
      <c r="N10" s="12"/>
    </row>
    <row r="11" spans="2:21" ht="15.75" customHeight="1" thickBot="1" x14ac:dyDescent="0.3">
      <c r="B11" s="25" t="s">
        <v>19</v>
      </c>
      <c r="C11" s="7">
        <v>2</v>
      </c>
      <c r="D11" s="22" t="str">
        <f>IF($C11 &lt;= 0, "1d2", IF($C11 = 1, "1d4", IF($C11  = 2, "1d6", IF($C11  = 3, "1d8", IF($C11  = 4, "1d10", IF($C11  = 5, "2d6", IF($C11  = 6, "2d8", IF($C11  = 7, "2d10", IF($C11  = 8, "3d8", IF($C11  = 9, "3d10", IF($C11  = 10, "4d8", )))))))))))</f>
        <v>1d6</v>
      </c>
      <c r="K11" s="12"/>
      <c r="L11" s="12"/>
      <c r="M11" s="12"/>
      <c r="N11" s="12"/>
    </row>
    <row r="12" spans="2:21" ht="15.75" customHeight="1" thickBot="1" x14ac:dyDescent="0.3">
      <c r="B12" s="23" t="s">
        <v>20</v>
      </c>
      <c r="C12" s="6">
        <v>1</v>
      </c>
      <c r="D12" s="24" t="str">
        <f>IF($C12 &lt;= 0, "1d2", IF($C12 = 1, "1d4", IF($C12  = 2, "1d6", IF($C12  = 3, "1d8", IF($C12  = 4, "1d10", IF($C12  = 5, "2d6", IF($C12  = 6, "2d8", IF($C12  = 7, "2d10", IF($C12  = 8, "3d8", IF($C12  = 9, "3d10", IF($C12  = 10, "4d8", )))))))))))</f>
        <v>1d4</v>
      </c>
      <c r="F12" s="94" t="s">
        <v>34</v>
      </c>
      <c r="G12" s="96">
        <f>8+G17</f>
        <v>8</v>
      </c>
      <c r="H12" s="96"/>
      <c r="I12" s="97"/>
      <c r="M12" s="12"/>
      <c r="N12" s="12"/>
    </row>
    <row r="13" spans="2:21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21" ht="15" customHeight="1" thickBot="1" x14ac:dyDescent="0.3">
      <c r="B14" s="26" t="s">
        <v>22</v>
      </c>
      <c r="C14" s="5">
        <v>3</v>
      </c>
      <c r="D14" s="27" t="str">
        <f>IF($C14 &lt;= 0, "1d2", IF($C14 = 1, "1d4", IF($C14  = 2, "1d6", IF($C14  = 3, "1d8", IF($C14  = 4, "1d10", IF($C14  = 5, "2d6", IF($C14  = 6, "2d8", IF($C14  = 7, "2d10", IF($C14  = 8, "3d8", IF($C14  = 9, "3d10", IF($C14  = 10, "4d8", )))))))))))</f>
        <v>1d8</v>
      </c>
    </row>
    <row r="15" spans="2:21" ht="15" customHeight="1" x14ac:dyDescent="0.25">
      <c r="B15" s="28" t="s">
        <v>23</v>
      </c>
      <c r="C15" s="4">
        <v>0</v>
      </c>
      <c r="D15" s="29" t="str">
        <f>IF($C15 &lt;= 0, "1d2", IF($C15 = 1, "1d4", IF($C15  = 2, "1d6", IF($C15  = 3, "1d8", IF($C15  = 4, "1d10", IF($C15  = 5, "2d6", IF($C15  = 6, "2d8", IF($C15  = 7, "2d10", IF($C15  = 8, "3d8", IF($C15  = 9, "3d10", IF($C15  = 10, "4d8", )))))))))))</f>
        <v>1d2</v>
      </c>
      <c r="F15" s="103" t="s">
        <v>35</v>
      </c>
      <c r="G15" s="105">
        <v>1</v>
      </c>
      <c r="I15" s="107"/>
      <c r="J15" s="107"/>
      <c r="K15" s="107"/>
    </row>
    <row r="16" spans="2:21" ht="15.75" customHeight="1" thickBot="1" x14ac:dyDescent="0.3">
      <c r="B16" s="30" t="s">
        <v>24</v>
      </c>
      <c r="C16" s="3">
        <v>1</v>
      </c>
      <c r="D16" s="31" t="str">
        <f>IF($C16 &lt;= 0, "1d2", IF($C16 = 1, "1d4", IF($C16  = 2, "1d6", IF($C16  = 3, "1d8", IF($C16  = 4, "1d10", IF($C16  = 5, "2d6", IF($C16  = 6, "2d8", IF($C16  = 7, "2d10", IF($C16  = 8, "3d8", IF($C16  = 9, "3d10", IF($C16  = 10, "4d8", )))))))))))</f>
        <v>1d4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0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0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si="0"/>
        <v>1d2</v>
      </c>
    </row>
    <row r="20" spans="2:14" x14ac:dyDescent="0.25">
      <c r="B20" s="32" t="s">
        <v>27</v>
      </c>
      <c r="C20" s="1"/>
      <c r="D20" s="33" t="str">
        <f t="shared" si="0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>
        <v>2</v>
      </c>
      <c r="D21" s="35" t="str">
        <f t="shared" si="0"/>
        <v>1d6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0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0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0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0"/>
        <v>1d2</v>
      </c>
      <c r="F25" s="116" t="s">
        <v>33</v>
      </c>
      <c r="G25" s="118">
        <v>3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 t="s">
        <v>89</v>
      </c>
      <c r="L26" s="39" t="s">
        <v>90</v>
      </c>
      <c r="M26" s="12" t="s">
        <v>48</v>
      </c>
      <c r="N26" s="12" t="s">
        <v>48</v>
      </c>
    </row>
    <row r="27" spans="2:14" x14ac:dyDescent="0.25">
      <c r="K27" s="12" t="s">
        <v>91</v>
      </c>
      <c r="L27" s="45" t="s">
        <v>92</v>
      </c>
      <c r="M27" s="12" t="s">
        <v>48</v>
      </c>
      <c r="N27" s="12" t="s">
        <v>48</v>
      </c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25">
      <c r="F30" s="47" t="s">
        <v>102</v>
      </c>
      <c r="G30" s="49">
        <v>5</v>
      </c>
    </row>
  </sheetData>
  <mergeCells count="41">
    <mergeCell ref="M24:M25"/>
    <mergeCell ref="N24:N25"/>
    <mergeCell ref="F25:F26"/>
    <mergeCell ref="G25:G26"/>
    <mergeCell ref="P2:U2"/>
    <mergeCell ref="F20:I20"/>
    <mergeCell ref="G21:I21"/>
    <mergeCell ref="F22:F23"/>
    <mergeCell ref="G22:I23"/>
    <mergeCell ref="K24:K25"/>
    <mergeCell ref="L24:L25"/>
    <mergeCell ref="F15:F16"/>
    <mergeCell ref="G15:G16"/>
    <mergeCell ref="I15:K18"/>
    <mergeCell ref="F6:F7"/>
    <mergeCell ref="G6:G7"/>
    <mergeCell ref="B17:D17"/>
    <mergeCell ref="F17:F18"/>
    <mergeCell ref="G17:G18"/>
    <mergeCell ref="B8:D8"/>
    <mergeCell ref="F9:F10"/>
    <mergeCell ref="G9:I10"/>
    <mergeCell ref="F12:F13"/>
    <mergeCell ref="G12:I13"/>
    <mergeCell ref="B13:D13"/>
    <mergeCell ref="H6:H7"/>
    <mergeCell ref="I6:I7"/>
    <mergeCell ref="K7:K8"/>
    <mergeCell ref="L7:L8"/>
    <mergeCell ref="L2:L3"/>
    <mergeCell ref="K2:K3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5361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U30"/>
  <sheetViews>
    <sheetView showGridLines="0" topLeftCell="A4" workbookViewId="0">
      <selection activeCell="K30" sqref="K30"/>
    </sheetView>
  </sheetViews>
  <sheetFormatPr defaultRowHeight="15" x14ac:dyDescent="0.25"/>
  <cols>
    <col min="1" max="1" width="0.85546875" customWidth="1"/>
    <col min="2" max="2" width="10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24.140625" bestFit="1" customWidth="1"/>
    <col min="12" max="12" width="48.28515625" customWidth="1"/>
    <col min="13" max="14" width="11" customWidth="1"/>
    <col min="15" max="15" width="1.5703125" customWidth="1"/>
    <col min="16" max="16" width="9" bestFit="1" customWidth="1"/>
    <col min="17" max="17" width="12.7109375" customWidth="1"/>
    <col min="18" max="18" width="43" customWidth="1"/>
    <col min="19" max="19" width="10.7109375" bestFit="1" customWidth="1"/>
    <col min="20" max="20" width="11.85546875" bestFit="1" customWidth="1"/>
    <col min="21" max="21" width="20.28515625" bestFit="1" customWidth="1"/>
  </cols>
  <sheetData>
    <row r="1" spans="2:21" ht="3.75" customHeight="1" thickBot="1" x14ac:dyDescent="0.3"/>
    <row r="2" spans="2:21" ht="15.75" customHeight="1" x14ac:dyDescent="0.25">
      <c r="B2" s="64" t="s">
        <v>14</v>
      </c>
      <c r="C2" s="65"/>
      <c r="D2" s="66"/>
      <c r="F2" s="67" t="s">
        <v>3</v>
      </c>
      <c r="G2" s="69">
        <v>14</v>
      </c>
      <c r="H2" s="71" t="s">
        <v>4</v>
      </c>
      <c r="I2" s="73">
        <v>14</v>
      </c>
      <c r="K2" s="75" t="s">
        <v>45</v>
      </c>
      <c r="L2" s="51" t="s">
        <v>46</v>
      </c>
      <c r="P2" s="52" t="s">
        <v>59</v>
      </c>
      <c r="Q2" s="52"/>
      <c r="R2" s="52"/>
      <c r="S2" s="52"/>
      <c r="T2" s="52"/>
      <c r="U2" s="52"/>
    </row>
    <row r="3" spans="2:21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P3" s="40" t="str">
        <f>IF(M1=0,"Name","Nome")</f>
        <v>Name</v>
      </c>
      <c r="Q3" s="40" t="s">
        <v>60</v>
      </c>
      <c r="R3" s="40" t="str">
        <f>IF(M1=0,"Effect","Efeito")</f>
        <v>Effect</v>
      </c>
      <c r="S3" s="40" t="str">
        <f>IF(M1=0,"Defense","Defesa")</f>
        <v>Defense</v>
      </c>
      <c r="T3" s="41" t="s">
        <v>61</v>
      </c>
      <c r="U3" s="41" t="s">
        <v>62</v>
      </c>
    </row>
    <row r="4" spans="2:21" ht="30" customHeight="1" x14ac:dyDescent="0.25">
      <c r="B4" s="53" t="s">
        <v>16</v>
      </c>
      <c r="C4" s="54"/>
      <c r="D4" s="55"/>
      <c r="F4" s="56" t="s">
        <v>5</v>
      </c>
      <c r="G4" s="58">
        <v>0</v>
      </c>
      <c r="H4" s="60" t="s">
        <v>4</v>
      </c>
      <c r="I4" s="62">
        <v>0</v>
      </c>
      <c r="K4" s="12"/>
      <c r="L4" s="12"/>
      <c r="P4" s="39" t="s">
        <v>82</v>
      </c>
      <c r="Q4" s="39" t="s">
        <v>66</v>
      </c>
      <c r="R4" s="39" t="s">
        <v>83</v>
      </c>
      <c r="S4" s="39" t="s">
        <v>78</v>
      </c>
      <c r="T4" s="44" t="s">
        <v>77</v>
      </c>
      <c r="U4" s="39" t="s">
        <v>63</v>
      </c>
    </row>
    <row r="5" spans="2:21" ht="15" customHeight="1" thickBot="1" x14ac:dyDescent="0.3">
      <c r="B5" s="16" t="s">
        <v>7</v>
      </c>
      <c r="C5" s="9">
        <v>4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1d10</v>
      </c>
      <c r="F5" s="57"/>
      <c r="G5" s="59"/>
      <c r="H5" s="61"/>
      <c r="I5" s="63"/>
      <c r="K5" s="12"/>
      <c r="L5" s="12"/>
      <c r="P5" s="39" t="s">
        <v>80</v>
      </c>
      <c r="Q5" s="39" t="s">
        <v>66</v>
      </c>
      <c r="R5" s="39" t="s">
        <v>81</v>
      </c>
      <c r="S5" s="39" t="s">
        <v>78</v>
      </c>
      <c r="T5" s="44" t="s">
        <v>77</v>
      </c>
      <c r="U5" s="39" t="s">
        <v>63</v>
      </c>
    </row>
    <row r="6" spans="2:21" ht="30" customHeight="1" x14ac:dyDescent="0.25">
      <c r="B6" s="18" t="s">
        <v>12</v>
      </c>
      <c r="C6" s="10">
        <v>0</v>
      </c>
      <c r="D6" s="19" t="str">
        <f>IF($C6 &lt;= 0, "1d2", IF($C6 = 1, "1d4", IF($C6  = 2, "1d6", IF($C6  = 3, "1d8", IF($C6  = 4, "1d10", IF($C6  = 5, "2d6", IF($C6  = 6, "2d8", IF($C6  = 7, "2d10", IF($C6  = 8, "3d8", IF($C6  = 9, "3d10", IF($C6  = 10, "4d8", )))))))))))</f>
        <v>1d2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  <c r="P6" s="39" t="s">
        <v>75</v>
      </c>
      <c r="Q6" s="39" t="s">
        <v>66</v>
      </c>
      <c r="R6" s="39" t="s">
        <v>84</v>
      </c>
      <c r="S6" s="39" t="s">
        <v>86</v>
      </c>
      <c r="T6" s="39" t="s">
        <v>85</v>
      </c>
      <c r="U6" s="39" t="s">
        <v>87</v>
      </c>
    </row>
    <row r="7" spans="2:21" ht="15.75" customHeight="1" thickBot="1" x14ac:dyDescent="0.3">
      <c r="B7" s="20" t="s">
        <v>13</v>
      </c>
      <c r="C7" s="8">
        <v>0</v>
      </c>
      <c r="D7" s="21" t="str">
        <f>IF($C7 &lt;= 0, "1d2", IF($C7 = 1, "1d4", IF($C7  = 2, "1d6", IF($C7  = 3, "1d8", IF($C7  = 4, "1d10", IF($C7  = 5, "2d6", IF($C7  = 6, "2d8", IF($C7  = 7, "2d10", IF($C7  = 8, "3d8", IF($C7  = 9, "3d10", IF($C7  = 10, "4d8", )))))))))))</f>
        <v>1d2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21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21" x14ac:dyDescent="0.25">
      <c r="B9" s="25" t="s">
        <v>52</v>
      </c>
      <c r="C9" s="7">
        <v>0</v>
      </c>
      <c r="D9" s="22" t="str">
        <f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tr">
        <f>B5</f>
        <v>Agility</v>
      </c>
      <c r="H9" s="90"/>
      <c r="I9" s="91"/>
      <c r="K9" s="12" t="s">
        <v>40</v>
      </c>
      <c r="L9" s="12" t="s">
        <v>75</v>
      </c>
      <c r="M9" s="12"/>
      <c r="N9" s="12"/>
    </row>
    <row r="10" spans="2:21" ht="15" customHeight="1" thickBot="1" x14ac:dyDescent="0.3">
      <c r="B10" s="23" t="s">
        <v>18</v>
      </c>
      <c r="C10" s="6">
        <v>0</v>
      </c>
      <c r="D10" s="24" t="str">
        <f>IF($C10 &lt;= 0, "1d2", IF($C10 = 1, "1d4", IF($C10  = 2, "1d6", IF($C10  = 3, "1d8", IF($C10  = 4, "1d10", IF($C10  = 5, "2d6", IF($C10  = 6, "2d8", IF($C10  = 7, "2d10", IF($C10  = 8, "3d8", IF($C10  = 9, "3d10", IF($C10  = 10, "4d8", )))))))))))</f>
        <v>1d2</v>
      </c>
      <c r="F10" s="89"/>
      <c r="G10" s="92"/>
      <c r="H10" s="92"/>
      <c r="I10" s="93"/>
      <c r="K10" s="12" t="s">
        <v>43</v>
      </c>
      <c r="L10" s="12"/>
      <c r="M10" s="12"/>
      <c r="N10" s="12"/>
    </row>
    <row r="11" spans="2:21" ht="15.75" customHeight="1" thickBot="1" x14ac:dyDescent="0.3">
      <c r="B11" s="25" t="s">
        <v>19</v>
      </c>
      <c r="C11" s="7">
        <v>2</v>
      </c>
      <c r="D11" s="22" t="str">
        <f>IF($C11 &lt;= 0, "1d2", IF($C11 = 1, "1d4", IF($C11  = 2, "1d6", IF($C11  = 3, "1d8", IF($C11  = 4, "1d10", IF($C11  = 5, "2d6", IF($C11  = 6, "2d8", IF($C11  = 7, "2d10", IF($C11  = 8, "3d8", IF($C11  = 9, "3d10", IF($C11  = 10, "4d8", )))))))))))</f>
        <v>1d6</v>
      </c>
      <c r="K11" s="12"/>
      <c r="L11" s="12"/>
      <c r="M11" s="12"/>
      <c r="N11" s="12"/>
    </row>
    <row r="12" spans="2:21" ht="15.75" customHeight="1" thickBot="1" x14ac:dyDescent="0.3">
      <c r="B12" s="23" t="s">
        <v>20</v>
      </c>
      <c r="C12" s="6">
        <v>0</v>
      </c>
      <c r="D12" s="24" t="str">
        <f>IF($C12 &lt;= 0, "1d2", IF($C12 = 1, "1d4", IF($C12  = 2, "1d6", IF($C12  = 3, "1d8", IF($C12  = 4, "1d10", IF($C12  = 5, "2d6", IF($C12  = 6, "2d8", IF($C12  = 7, "2d10", IF($C12  = 8, "3d8", IF($C12  = 9, "3d10", IF($C12  = 10, "4d8", )))))))))))</f>
        <v>1d2</v>
      </c>
      <c r="F12" s="94" t="s">
        <v>34</v>
      </c>
      <c r="G12" s="96">
        <f>8+G17</f>
        <v>10</v>
      </c>
      <c r="H12" s="96"/>
      <c r="I12" s="97"/>
      <c r="M12" s="12"/>
      <c r="N12" s="12"/>
    </row>
    <row r="13" spans="2:21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21" ht="15" customHeight="1" thickBot="1" x14ac:dyDescent="0.3">
      <c r="B14" s="26" t="s">
        <v>22</v>
      </c>
      <c r="C14" s="5">
        <v>3</v>
      </c>
      <c r="D14" s="27" t="str">
        <f>IF($C14 &lt;= 0, "1d2", IF($C14 = 1, "1d4", IF($C14  = 2, "1d6", IF($C14  = 3, "1d8", IF($C14  = 4, "1d10", IF($C14  = 5, "2d6", IF($C14  = 6, "2d8", IF($C14  = 7, "2d10", IF($C14  = 8, "3d8", IF($C14  = 9, "3d10", IF($C14  = 10, "4d8", )))))))))))</f>
        <v>1d8</v>
      </c>
    </row>
    <row r="15" spans="2:21" ht="15" customHeight="1" x14ac:dyDescent="0.25">
      <c r="B15" s="28" t="s">
        <v>23</v>
      </c>
      <c r="C15" s="4">
        <v>2</v>
      </c>
      <c r="D15" s="29" t="str">
        <f>IF($C15 &lt;= 0, "1d2", IF($C15 = 1, "1d4", IF($C15  = 2, "1d6", IF($C15  = 3, "1d8", IF($C15  = 4, "1d10", IF($C15  = 5, "2d6", IF($C15  = 6, "2d8", IF($C15  = 7, "2d10", IF($C15  = 8, "3d8", IF($C15  = 9, "3d10", IF($C15  = 10, "4d8", )))))))))))</f>
        <v>1d6</v>
      </c>
      <c r="F15" s="103" t="s">
        <v>35</v>
      </c>
      <c r="G15" s="105">
        <v>0</v>
      </c>
      <c r="I15" s="131">
        <v>15</v>
      </c>
      <c r="J15" s="131"/>
      <c r="K15" s="131"/>
    </row>
    <row r="16" spans="2:21" ht="15.75" customHeight="1" thickBot="1" x14ac:dyDescent="0.3">
      <c r="B16" s="30" t="s">
        <v>24</v>
      </c>
      <c r="C16" s="3">
        <v>0</v>
      </c>
      <c r="D16" s="31" t="str">
        <f>IF($C16 &lt;= 0, "1d2", IF($C16 = 1, "1d4", IF($C16  = 2, "1d6", IF($C16  = 3, "1d8", IF($C16  = 4, "1d10", IF($C16  = 5, "2d6", IF($C16  = 6, "2d8", IF($C16  = 7, "2d10", IF($C16  = 8, "3d8", IF($C16  = 9, "3d10", IF($C16  = 10, "4d8", )))))))))))</f>
        <v>1d2</v>
      </c>
      <c r="F16" s="104"/>
      <c r="G16" s="106"/>
      <c r="I16" s="131"/>
      <c r="J16" s="131"/>
      <c r="K16" s="131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2</v>
      </c>
      <c r="I17" s="131"/>
      <c r="J17" s="131"/>
      <c r="K17" s="131"/>
    </row>
    <row r="18" spans="2:14" ht="15.75" customHeight="1" thickBot="1" x14ac:dyDescent="0.3">
      <c r="B18" s="32" t="s">
        <v>25</v>
      </c>
      <c r="C18" s="1"/>
      <c r="D18" s="33" t="str">
        <f t="shared" ref="D18:D25" si="0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31"/>
      <c r="J18" s="131"/>
      <c r="K18" s="131"/>
    </row>
    <row r="19" spans="2:14" ht="15.75" thickBot="1" x14ac:dyDescent="0.3">
      <c r="B19" s="34" t="s">
        <v>26</v>
      </c>
      <c r="C19" s="2"/>
      <c r="D19" s="35" t="str">
        <f t="shared" si="0"/>
        <v>1d2</v>
      </c>
    </row>
    <row r="20" spans="2:14" x14ac:dyDescent="0.25">
      <c r="B20" s="32" t="s">
        <v>27</v>
      </c>
      <c r="C20" s="1"/>
      <c r="D20" s="33" t="str">
        <f t="shared" si="0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>
        <v>3</v>
      </c>
      <c r="D21" s="35" t="str">
        <f t="shared" si="0"/>
        <v>1d8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0"/>
        <v>1d2</v>
      </c>
      <c r="F22" s="125">
        <v>10</v>
      </c>
      <c r="G22" s="127">
        <f>IF(F22 = "", "", IF(G17 &lt; 0, F22 - (G15), IF(ROUNDUP(F22 * 15/(G17+15) - (G15), 0) &gt;= 0, ROUNDUP(F22 * 15/(G17+15) - (G15), 0), 0)))</f>
        <v>9</v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0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0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0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45" customHeight="1" thickBot="1" x14ac:dyDescent="0.3">
      <c r="F26" s="117"/>
      <c r="G26" s="119"/>
      <c r="K26" s="12" t="s">
        <v>88</v>
      </c>
      <c r="L26" s="39" t="s">
        <v>101</v>
      </c>
      <c r="M26" s="12" t="s">
        <v>48</v>
      </c>
      <c r="N26" s="12" t="s">
        <v>48</v>
      </c>
    </row>
    <row r="27" spans="2:14" x14ac:dyDescent="0.25">
      <c r="K27" s="12" t="s">
        <v>91</v>
      </c>
      <c r="L27" s="45" t="s">
        <v>92</v>
      </c>
      <c r="M27" s="12" t="s">
        <v>48</v>
      </c>
      <c r="N27" s="12" t="s">
        <v>48</v>
      </c>
    </row>
    <row r="28" spans="2:14" x14ac:dyDescent="0.25">
      <c r="K28" s="12" t="s">
        <v>97</v>
      </c>
      <c r="L28" s="39" t="s">
        <v>98</v>
      </c>
      <c r="M28" s="12" t="s">
        <v>48</v>
      </c>
      <c r="N28" s="12" t="s">
        <v>48</v>
      </c>
    </row>
    <row r="29" spans="2:14" x14ac:dyDescent="0.25">
      <c r="K29" s="12" t="s">
        <v>103</v>
      </c>
      <c r="L29" s="39" t="s">
        <v>104</v>
      </c>
      <c r="M29" s="12"/>
      <c r="N29" s="12"/>
    </row>
    <row r="30" spans="2:14" ht="18.75" x14ac:dyDescent="0.25">
      <c r="F30" s="47" t="s">
        <v>102</v>
      </c>
      <c r="G30" s="49">
        <v>5</v>
      </c>
    </row>
  </sheetData>
  <mergeCells count="41">
    <mergeCell ref="M24:M25"/>
    <mergeCell ref="N24:N25"/>
    <mergeCell ref="F25:F26"/>
    <mergeCell ref="G25:G26"/>
    <mergeCell ref="P2:U2"/>
    <mergeCell ref="F20:I20"/>
    <mergeCell ref="G21:I21"/>
    <mergeCell ref="F22:F23"/>
    <mergeCell ref="G22:I23"/>
    <mergeCell ref="K24:K25"/>
    <mergeCell ref="L24:L25"/>
    <mergeCell ref="F15:F16"/>
    <mergeCell ref="G15:G16"/>
    <mergeCell ref="I15:K18"/>
    <mergeCell ref="F6:F7"/>
    <mergeCell ref="G6:G7"/>
    <mergeCell ref="B17:D17"/>
    <mergeCell ref="F17:F18"/>
    <mergeCell ref="G17:G18"/>
    <mergeCell ref="B8:D8"/>
    <mergeCell ref="F9:F10"/>
    <mergeCell ref="G9:I10"/>
    <mergeCell ref="F12:F13"/>
    <mergeCell ref="G12:I13"/>
    <mergeCell ref="B13:D13"/>
    <mergeCell ref="H6:H7"/>
    <mergeCell ref="I6:I7"/>
    <mergeCell ref="K7:K8"/>
    <mergeCell ref="L7:L8"/>
    <mergeCell ref="L2:L3"/>
    <mergeCell ref="K2:K3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6385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S30"/>
  <sheetViews>
    <sheetView showGridLines="0" workbookViewId="0">
      <selection activeCell="G31" sqref="G31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27</v>
      </c>
      <c r="H2" s="71" t="s">
        <v>4</v>
      </c>
      <c r="I2" s="73">
        <v>27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>
        <v>20</v>
      </c>
      <c r="H4" s="60" t="s">
        <v>4</v>
      </c>
      <c r="I4" s="62">
        <v>20</v>
      </c>
      <c r="K4" s="12" t="s">
        <v>42</v>
      </c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>
        <v>-2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1d2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2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1d6</v>
      </c>
      <c r="F6" s="76" t="s">
        <v>37</v>
      </c>
      <c r="G6" s="78">
        <v>7</v>
      </c>
      <c r="H6" s="80" t="s">
        <v>4</v>
      </c>
      <c r="I6" s="82">
        <v>7</v>
      </c>
      <c r="K6" s="12"/>
      <c r="L6" s="12"/>
    </row>
    <row r="7" spans="2:19" ht="15.75" customHeight="1" thickBot="1" x14ac:dyDescent="0.3">
      <c r="B7" s="20" t="s">
        <v>13</v>
      </c>
      <c r="C7" s="8">
        <v>2</v>
      </c>
      <c r="D7" s="21" t="str">
        <f t="shared" si="0"/>
        <v>1d6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13</v>
      </c>
      <c r="H9" s="90"/>
      <c r="I9" s="91"/>
      <c r="K9" s="12" t="s">
        <v>94</v>
      </c>
      <c r="L9" s="12" t="s">
        <v>44</v>
      </c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 t="s">
        <v>75</v>
      </c>
      <c r="L10" s="12"/>
      <c r="M10" s="12"/>
      <c r="N10" s="12"/>
    </row>
    <row r="11" spans="2:19" ht="15.75" customHeight="1" thickBot="1" x14ac:dyDescent="0.3">
      <c r="B11" s="25" t="s">
        <v>19</v>
      </c>
      <c r="C11" s="7"/>
      <c r="D11" s="22" t="str">
        <f t="shared" si="1"/>
        <v>1d2</v>
      </c>
      <c r="K11" s="12" t="s">
        <v>43</v>
      </c>
      <c r="L11" s="12"/>
      <c r="M11" s="12"/>
      <c r="N11" s="12"/>
    </row>
    <row r="12" spans="2:19" ht="15.75" customHeight="1" thickBot="1" x14ac:dyDescent="0.3">
      <c r="B12" s="23" t="s">
        <v>20</v>
      </c>
      <c r="C12" s="6">
        <v>4</v>
      </c>
      <c r="D12" s="24" t="str">
        <f t="shared" si="1"/>
        <v>1d10</v>
      </c>
      <c r="F12" s="94" t="s">
        <v>34</v>
      </c>
      <c r="G12" s="96">
        <f>8+G17</f>
        <v>6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/>
      <c r="I15" s="107"/>
      <c r="J15" s="107"/>
      <c r="K15" s="107"/>
    </row>
    <row r="16" spans="2:19" ht="15.75" customHeight="1" thickBot="1" x14ac:dyDescent="0.3">
      <c r="B16" s="30" t="s">
        <v>24</v>
      </c>
      <c r="C16" s="3"/>
      <c r="D16" s="31" t="str">
        <f t="shared" si="2"/>
        <v>1d2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-2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>
        <v>6</v>
      </c>
      <c r="D19" s="35" t="str">
        <f t="shared" si="3"/>
        <v>2d8</v>
      </c>
    </row>
    <row r="20" spans="2:14" x14ac:dyDescent="0.25">
      <c r="B20" s="32" t="s">
        <v>27</v>
      </c>
      <c r="C20" s="1"/>
      <c r="D20" s="33" t="str">
        <f t="shared" si="3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30.75" thickBot="1" x14ac:dyDescent="0.3">
      <c r="F26" s="117"/>
      <c r="G26" s="119"/>
      <c r="K26" s="12" t="s">
        <v>95</v>
      </c>
      <c r="L26" s="39" t="s">
        <v>96</v>
      </c>
      <c r="M26" s="12" t="s">
        <v>26</v>
      </c>
      <c r="N26" s="12">
        <v>5</v>
      </c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25">
      <c r="F30" s="47" t="s">
        <v>102</v>
      </c>
      <c r="G30" s="49">
        <v>4</v>
      </c>
    </row>
  </sheetData>
  <mergeCells count="41"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H6:H7"/>
    <mergeCell ref="I6:I7"/>
    <mergeCell ref="K7:K8"/>
    <mergeCell ref="B8:D8"/>
    <mergeCell ref="F9:F10"/>
    <mergeCell ref="G9:I10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7409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S31"/>
  <sheetViews>
    <sheetView showGridLines="0" workbookViewId="0">
      <selection activeCell="N17" sqref="N17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18</v>
      </c>
      <c r="H2" s="71" t="s">
        <v>4</v>
      </c>
      <c r="I2" s="73">
        <v>18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>
        <v>4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1d10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3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1d8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>
        <v>2</v>
      </c>
      <c r="D7" s="21" t="str">
        <f t="shared" si="0"/>
        <v>1d6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13</v>
      </c>
      <c r="H9" s="90"/>
      <c r="I9" s="91"/>
      <c r="K9" s="12"/>
      <c r="L9" s="12"/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>
        <v>3</v>
      </c>
      <c r="D11" s="22" t="str">
        <f t="shared" si="1"/>
        <v>1d8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>
        <v>0</v>
      </c>
      <c r="D12" s="24" t="str">
        <f t="shared" si="1"/>
        <v>1d2</v>
      </c>
      <c r="F12" s="94" t="s">
        <v>34</v>
      </c>
      <c r="G12" s="96">
        <f>8+G17</f>
        <v>8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0</v>
      </c>
      <c r="I15" s="131">
        <v>11</v>
      </c>
      <c r="J15" s="131"/>
      <c r="K15" s="131"/>
    </row>
    <row r="16" spans="2:19" ht="15.75" customHeight="1" thickBot="1" x14ac:dyDescent="0.3">
      <c r="B16" s="30" t="s">
        <v>24</v>
      </c>
      <c r="C16" s="3">
        <v>2</v>
      </c>
      <c r="D16" s="31" t="str">
        <f t="shared" si="2"/>
        <v>1d6</v>
      </c>
      <c r="F16" s="104"/>
      <c r="G16" s="106"/>
      <c r="I16" s="131"/>
      <c r="J16" s="131"/>
      <c r="K16" s="131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0</v>
      </c>
      <c r="I17" s="131"/>
      <c r="J17" s="131"/>
      <c r="K17" s="131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31"/>
      <c r="J18" s="131"/>
      <c r="K18" s="131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/>
      <c r="D20" s="33" t="str">
        <f t="shared" si="3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7</v>
      </c>
    </row>
    <row r="31" spans="2:14" x14ac:dyDescent="0.25">
      <c r="F31" s="46"/>
    </row>
  </sheetData>
  <mergeCells count="41"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H6:H7"/>
    <mergeCell ref="I6:I7"/>
    <mergeCell ref="K7:K8"/>
    <mergeCell ref="B8:D8"/>
    <mergeCell ref="F9:F10"/>
    <mergeCell ref="G9:I10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8433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S30"/>
  <sheetViews>
    <sheetView showGridLines="0" workbookViewId="0">
      <selection activeCell="L10" sqref="L10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8</v>
      </c>
      <c r="H2" s="71" t="s">
        <v>4</v>
      </c>
      <c r="I2" s="73">
        <v>8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/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1d2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3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1d8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>
        <v>2</v>
      </c>
      <c r="D7" s="21" t="str">
        <f t="shared" si="0"/>
        <v>1d6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28</v>
      </c>
      <c r="H9" s="90"/>
      <c r="I9" s="91"/>
      <c r="K9" s="12" t="s">
        <v>110</v>
      </c>
      <c r="L9" s="12" t="s">
        <v>109</v>
      </c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/>
      <c r="D11" s="22" t="str">
        <f t="shared" si="1"/>
        <v>1d2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/>
      <c r="D12" s="24" t="str">
        <f t="shared" si="1"/>
        <v>1d2</v>
      </c>
      <c r="F12" s="94" t="s">
        <v>34</v>
      </c>
      <c r="G12" s="96">
        <f>8+G17</f>
        <v>9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0</v>
      </c>
      <c r="I15" s="107"/>
      <c r="J15" s="107"/>
      <c r="K15" s="107"/>
    </row>
    <row r="16" spans="2:19" ht="15.75" customHeight="1" thickBot="1" x14ac:dyDescent="0.3">
      <c r="B16" s="30" t="s">
        <v>24</v>
      </c>
      <c r="C16" s="3">
        <v>3</v>
      </c>
      <c r="D16" s="31" t="str">
        <f t="shared" si="2"/>
        <v>1d8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1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>
        <v>5</v>
      </c>
      <c r="D20" s="33" t="str">
        <f t="shared" si="3"/>
        <v>2d6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5</v>
      </c>
    </row>
  </sheetData>
  <mergeCells count="41"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  <mergeCell ref="H6:H7"/>
    <mergeCell ref="I6:I7"/>
    <mergeCell ref="K7:K8"/>
    <mergeCell ref="B8:D8"/>
    <mergeCell ref="F9:F10"/>
    <mergeCell ref="G9:I10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4577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24577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S30"/>
  <sheetViews>
    <sheetView showGridLines="0" workbookViewId="0">
      <selection activeCell="K10" sqref="K10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26</v>
      </c>
      <c r="H2" s="71" t="s">
        <v>4</v>
      </c>
      <c r="I2" s="73">
        <v>26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/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1d2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4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1d10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>
        <v>3</v>
      </c>
      <c r="D7" s="21" t="str">
        <f t="shared" si="0"/>
        <v>1d8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28</v>
      </c>
      <c r="H9" s="90"/>
      <c r="I9" s="91"/>
      <c r="K9" s="12" t="s">
        <v>110</v>
      </c>
      <c r="L9" s="12" t="s">
        <v>109</v>
      </c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/>
      <c r="D11" s="22" t="str">
        <f t="shared" si="1"/>
        <v>1d2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/>
      <c r="D12" s="24" t="str">
        <f t="shared" si="1"/>
        <v>1d2</v>
      </c>
      <c r="F12" s="94" t="s">
        <v>34</v>
      </c>
      <c r="G12" s="96">
        <f>8+G17</f>
        <v>9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2</v>
      </c>
      <c r="I15" s="107"/>
      <c r="J15" s="107"/>
      <c r="K15" s="107"/>
    </row>
    <row r="16" spans="2:19" ht="15.75" customHeight="1" thickBot="1" x14ac:dyDescent="0.3">
      <c r="B16" s="30" t="s">
        <v>24</v>
      </c>
      <c r="C16" s="3">
        <v>3</v>
      </c>
      <c r="D16" s="31" t="str">
        <f t="shared" si="2"/>
        <v>1d8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1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>
        <v>5</v>
      </c>
      <c r="D20" s="33" t="str">
        <f t="shared" si="3"/>
        <v>2d6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5</v>
      </c>
    </row>
  </sheetData>
  <mergeCells count="41"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  <mergeCell ref="F15:F16"/>
    <mergeCell ref="G15:G16"/>
    <mergeCell ref="I15:K18"/>
    <mergeCell ref="B17:D17"/>
    <mergeCell ref="F17:F18"/>
    <mergeCell ref="G17:G18"/>
    <mergeCell ref="B8:D8"/>
    <mergeCell ref="F9:F10"/>
    <mergeCell ref="G9:I10"/>
    <mergeCell ref="F12:F13"/>
    <mergeCell ref="G12:I13"/>
    <mergeCell ref="B13:D13"/>
    <mergeCell ref="F6:F7"/>
    <mergeCell ref="G6:G7"/>
    <mergeCell ref="H6:H7"/>
    <mergeCell ref="I6:I7"/>
    <mergeCell ref="K7:K8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28673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S30"/>
  <sheetViews>
    <sheetView showGridLines="0" workbookViewId="0">
      <selection activeCell="N22" sqref="N22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64" t="s">
        <v>14</v>
      </c>
      <c r="C2" s="65"/>
      <c r="D2" s="66"/>
      <c r="F2" s="67" t="s">
        <v>3</v>
      </c>
      <c r="G2" s="69">
        <v>30</v>
      </c>
      <c r="H2" s="71" t="s">
        <v>4</v>
      </c>
      <c r="I2" s="73">
        <v>30</v>
      </c>
      <c r="K2" s="75" t="s">
        <v>45</v>
      </c>
      <c r="L2" s="51" t="s">
        <v>46</v>
      </c>
      <c r="N2" s="52" t="s">
        <v>59</v>
      </c>
      <c r="O2" s="52"/>
      <c r="P2" s="52"/>
      <c r="Q2" s="52"/>
      <c r="R2" s="52"/>
      <c r="S2" s="52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N3" s="40" t="str">
        <f>IF(M1=0,"Name","Nome")</f>
        <v>Name</v>
      </c>
      <c r="O3" s="40" t="s">
        <v>60</v>
      </c>
      <c r="P3" s="40" t="str">
        <f>IF(M1=0,"Effect","Efeito")</f>
        <v>Effect</v>
      </c>
      <c r="Q3" s="40" t="str">
        <f>IF(M1=0,"Defense","Defesa")</f>
        <v>Defense</v>
      </c>
      <c r="R3" s="41" t="s">
        <v>61</v>
      </c>
      <c r="S3" s="41" t="s">
        <v>62</v>
      </c>
    </row>
    <row r="4" spans="2:19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/>
      <c r="N4" s="39"/>
      <c r="O4" s="39"/>
      <c r="P4" s="39"/>
      <c r="Q4" s="39"/>
      <c r="R4" s="44"/>
      <c r="S4" s="39"/>
    </row>
    <row r="5" spans="2:19" ht="15.75" customHeight="1" thickBot="1" x14ac:dyDescent="0.3">
      <c r="B5" s="16" t="s">
        <v>7</v>
      </c>
      <c r="C5" s="9"/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1d2</v>
      </c>
      <c r="F5" s="57"/>
      <c r="G5" s="59"/>
      <c r="H5" s="61"/>
      <c r="I5" s="63"/>
      <c r="K5" s="12"/>
      <c r="L5" s="12"/>
      <c r="N5" s="39"/>
      <c r="O5" s="39"/>
      <c r="P5" s="39"/>
      <c r="Q5" s="39"/>
      <c r="R5" s="44"/>
      <c r="S5" s="39"/>
    </row>
    <row r="6" spans="2:19" x14ac:dyDescent="0.25">
      <c r="B6" s="18" t="s">
        <v>12</v>
      </c>
      <c r="C6" s="10">
        <v>3</v>
      </c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1d8</v>
      </c>
      <c r="F6" s="76" t="s">
        <v>37</v>
      </c>
      <c r="G6" s="78" t="s">
        <v>48</v>
      </c>
      <c r="H6" s="80" t="s">
        <v>4</v>
      </c>
      <c r="I6" s="82" t="s">
        <v>48</v>
      </c>
      <c r="K6" s="12"/>
      <c r="L6" s="12"/>
    </row>
    <row r="7" spans="2:19" ht="15.75" customHeight="1" thickBot="1" x14ac:dyDescent="0.3">
      <c r="B7" s="20" t="s">
        <v>13</v>
      </c>
      <c r="C7" s="8"/>
      <c r="D7" s="21" t="str">
        <f t="shared" si="0"/>
        <v>1d2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  <c r="P7" s="12"/>
      <c r="Q7" s="12"/>
      <c r="R7" s="12"/>
    </row>
    <row r="8" spans="2:19" ht="15.75" thickBot="1" x14ac:dyDescent="0.3">
      <c r="B8" s="85" t="s">
        <v>17</v>
      </c>
      <c r="C8" s="86"/>
      <c r="D8" s="87"/>
      <c r="K8" s="84"/>
      <c r="L8" s="50"/>
      <c r="M8" s="12"/>
      <c r="N8" s="12"/>
      <c r="P8" s="12"/>
      <c r="Q8" s="12"/>
      <c r="R8" s="12"/>
    </row>
    <row r="9" spans="2:19" x14ac:dyDescent="0.25">
      <c r="B9" s="25" t="s">
        <v>52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28</v>
      </c>
      <c r="H9" s="90"/>
      <c r="I9" s="91"/>
      <c r="K9" s="12" t="s">
        <v>110</v>
      </c>
      <c r="L9" s="12" t="s">
        <v>109</v>
      </c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89"/>
      <c r="G10" s="92"/>
      <c r="H10" s="92"/>
      <c r="I10" s="93"/>
      <c r="K10" s="12"/>
      <c r="L10" s="12" t="s">
        <v>111</v>
      </c>
      <c r="M10" s="12"/>
      <c r="N10" s="12"/>
    </row>
    <row r="11" spans="2:19" ht="15.75" customHeight="1" thickBot="1" x14ac:dyDescent="0.3">
      <c r="B11" s="25" t="s">
        <v>19</v>
      </c>
      <c r="C11" s="7"/>
      <c r="D11" s="22" t="str">
        <f t="shared" si="1"/>
        <v>1d2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/>
      <c r="D12" s="24" t="str">
        <f t="shared" si="1"/>
        <v>1d2</v>
      </c>
      <c r="F12" s="94" t="s">
        <v>34</v>
      </c>
      <c r="G12" s="96">
        <f>8+G17</f>
        <v>9</v>
      </c>
      <c r="H12" s="96"/>
      <c r="I12" s="97"/>
      <c r="M12" s="12"/>
      <c r="N12" s="12"/>
    </row>
    <row r="13" spans="2:19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103" t="s">
        <v>35</v>
      </c>
      <c r="G15" s="105">
        <v>0</v>
      </c>
      <c r="I15" s="107"/>
      <c r="J15" s="107"/>
      <c r="K15" s="107"/>
    </row>
    <row r="16" spans="2:19" ht="15.75" customHeight="1" thickBot="1" x14ac:dyDescent="0.3">
      <c r="B16" s="30" t="s">
        <v>24</v>
      </c>
      <c r="C16" s="3">
        <v>3</v>
      </c>
      <c r="D16" s="31" t="str">
        <f t="shared" si="2"/>
        <v>1d8</v>
      </c>
      <c r="F16" s="104"/>
      <c r="G16" s="106"/>
      <c r="I16" s="107"/>
      <c r="J16" s="107"/>
      <c r="K16" s="107"/>
    </row>
    <row r="17" spans="2:14" ht="15" customHeight="1" x14ac:dyDescent="0.25">
      <c r="B17" s="108" t="s">
        <v>32</v>
      </c>
      <c r="C17" s="109"/>
      <c r="D17" s="110"/>
      <c r="F17" s="111" t="s">
        <v>36</v>
      </c>
      <c r="G17" s="113">
        <v>1</v>
      </c>
      <c r="I17" s="107"/>
      <c r="J17" s="107"/>
      <c r="K17" s="107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112"/>
      <c r="G18" s="114"/>
      <c r="I18" s="107"/>
      <c r="J18" s="107"/>
      <c r="K18" s="107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>
        <v>5</v>
      </c>
      <c r="D20" s="33" t="str">
        <f t="shared" si="3"/>
        <v>2d6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126"/>
      <c r="G23" s="129"/>
      <c r="H23" s="129"/>
      <c r="I23" s="13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116" t="s">
        <v>33</v>
      </c>
      <c r="G25" s="118">
        <v>2</v>
      </c>
      <c r="K25" s="115"/>
      <c r="L25" s="115"/>
      <c r="M25" s="115"/>
      <c r="N25" s="115"/>
    </row>
    <row r="26" spans="2:14" ht="15.75" thickBot="1" x14ac:dyDescent="0.3">
      <c r="F26" s="117"/>
      <c r="G26" s="11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7" t="s">
        <v>102</v>
      </c>
      <c r="G30" s="48">
        <v>5</v>
      </c>
    </row>
  </sheetData>
  <mergeCells count="41"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  <mergeCell ref="F15:F16"/>
    <mergeCell ref="G15:G16"/>
    <mergeCell ref="I15:K18"/>
    <mergeCell ref="B17:D17"/>
    <mergeCell ref="F17:F18"/>
    <mergeCell ref="G17:G18"/>
    <mergeCell ref="B8:D8"/>
    <mergeCell ref="F9:F10"/>
    <mergeCell ref="G9:I10"/>
    <mergeCell ref="F12:F13"/>
    <mergeCell ref="G12:I13"/>
    <mergeCell ref="B13:D13"/>
    <mergeCell ref="F6:F7"/>
    <mergeCell ref="G6:G7"/>
    <mergeCell ref="H6:H7"/>
    <mergeCell ref="I6:I7"/>
    <mergeCell ref="K7:K8"/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27649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U36"/>
  <sheetViews>
    <sheetView showGridLines="0" tabSelected="1" topLeftCell="A16" workbookViewId="0">
      <selection activeCell="G27" sqref="G27:G28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61.140625" customWidth="1"/>
    <col min="13" max="13" width="13.85546875" bestFit="1" customWidth="1"/>
    <col min="14" max="14" width="11" customWidth="1"/>
    <col min="15" max="15" width="1.5703125" customWidth="1"/>
    <col min="16" max="16" width="14.5703125" bestFit="1" customWidth="1"/>
    <col min="17" max="17" width="13.42578125" customWidth="1"/>
    <col min="18" max="18" width="37.42578125" customWidth="1"/>
    <col min="19" max="19" width="9.5703125" customWidth="1"/>
    <col min="20" max="20" width="11.85546875" bestFit="1" customWidth="1"/>
    <col min="21" max="21" width="20.28515625" bestFit="1" customWidth="1"/>
  </cols>
  <sheetData>
    <row r="1" spans="2:21" ht="3.75" customHeight="1" thickBot="1" x14ac:dyDescent="0.3"/>
    <row r="2" spans="2:21" ht="15.75" customHeight="1" x14ac:dyDescent="0.25">
      <c r="B2" s="64" t="s">
        <v>14</v>
      </c>
      <c r="C2" s="65"/>
      <c r="D2" s="66"/>
      <c r="F2" s="67" t="s">
        <v>3</v>
      </c>
      <c r="G2" s="69">
        <v>45</v>
      </c>
      <c r="H2" s="71" t="s">
        <v>4</v>
      </c>
      <c r="I2" s="73">
        <v>45</v>
      </c>
      <c r="K2" s="75" t="s">
        <v>45</v>
      </c>
      <c r="L2" s="51" t="s">
        <v>46</v>
      </c>
      <c r="P2" s="52" t="s">
        <v>59</v>
      </c>
      <c r="Q2" s="52"/>
      <c r="R2" s="52"/>
      <c r="S2" s="52"/>
      <c r="T2" s="52"/>
      <c r="U2" s="52"/>
    </row>
    <row r="3" spans="2:21" ht="15" customHeight="1" thickBot="1" x14ac:dyDescent="0.3">
      <c r="B3" s="14" t="s">
        <v>0</v>
      </c>
      <c r="C3" s="11" t="s">
        <v>15</v>
      </c>
      <c r="D3" s="15" t="s">
        <v>1</v>
      </c>
      <c r="F3" s="68"/>
      <c r="G3" s="70"/>
      <c r="H3" s="72"/>
      <c r="I3" s="74"/>
      <c r="K3" s="75"/>
      <c r="L3" s="51"/>
      <c r="P3" s="40" t="str">
        <f>IF(M1=0,"Name","Nome")</f>
        <v>Name</v>
      </c>
      <c r="Q3" s="40" t="s">
        <v>60</v>
      </c>
      <c r="R3" s="40" t="str">
        <f>IF(M1=0,"Effect","Efeito")</f>
        <v>Effect</v>
      </c>
      <c r="S3" s="40" t="str">
        <f>IF(M1=0,"Defense","Defesa")</f>
        <v>Defense</v>
      </c>
      <c r="T3" s="41" t="s">
        <v>61</v>
      </c>
      <c r="U3" s="41" t="s">
        <v>62</v>
      </c>
    </row>
    <row r="4" spans="2:21" ht="15" customHeight="1" x14ac:dyDescent="0.25">
      <c r="B4" s="53" t="s">
        <v>16</v>
      </c>
      <c r="C4" s="54"/>
      <c r="D4" s="55"/>
      <c r="F4" s="56" t="s">
        <v>5</v>
      </c>
      <c r="G4" s="58" t="s">
        <v>48</v>
      </c>
      <c r="H4" s="60" t="s">
        <v>4</v>
      </c>
      <c r="I4" s="62" t="s">
        <v>48</v>
      </c>
      <c r="K4" s="12"/>
      <c r="L4" s="12" t="s">
        <v>107</v>
      </c>
    </row>
    <row r="5" spans="2:21" ht="15.75" customHeight="1" thickBot="1" x14ac:dyDescent="0.3">
      <c r="B5" s="16" t="s">
        <v>7</v>
      </c>
      <c r="C5" s="9">
        <v>2</v>
      </c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1d6</v>
      </c>
      <c r="F5" s="57"/>
      <c r="G5" s="59"/>
      <c r="H5" s="61"/>
      <c r="I5" s="63"/>
      <c r="K5" s="12"/>
      <c r="L5" s="12"/>
    </row>
    <row r="6" spans="2:21" x14ac:dyDescent="0.25">
      <c r="B6" s="18" t="s">
        <v>12</v>
      </c>
      <c r="C6" s="10">
        <v>4</v>
      </c>
      <c r="D6" s="19" t="str">
        <f>IF($C6 &lt;= 0, "1d2", IF($C6 = 1, "1d4", IF($C6  = 2, "1d6", IF($C6  = 3, "1d8", IF($C6  = 4, "1d10", IF($C6  = 5, "2d6", IF($C6  = 6, "2d8", IF($C6  = 7, "2d10", IF($C6  = 8, "3d8", IF($C6  = 9, "3d10", IF($C6  = 10, "4d8", )))))))))))</f>
        <v>1d10</v>
      </c>
      <c r="F6" s="76" t="s">
        <v>37</v>
      </c>
      <c r="G6" s="78">
        <v>15</v>
      </c>
      <c r="H6" s="80" t="s">
        <v>4</v>
      </c>
      <c r="I6" s="82">
        <v>15</v>
      </c>
      <c r="K6" s="12"/>
      <c r="L6" s="12"/>
    </row>
    <row r="7" spans="2:21" ht="15.75" customHeight="1" thickBot="1" x14ac:dyDescent="0.3">
      <c r="B7" s="20" t="s">
        <v>13</v>
      </c>
      <c r="C7" s="8">
        <v>4</v>
      </c>
      <c r="D7" s="21" t="str">
        <f>IF($C7 &lt;= 0, "1d2", IF($C7 = 1, "1d4", IF($C7  = 2, "1d6", IF($C7  = 3, "1d8", IF($C7  = 4, "1d10", IF($C7  = 5, "2d6", IF($C7  = 6, "2d8", IF($C7  = 7, "2d10", IF($C7  = 8, "3d8", IF($C7  = 9, "3d10", IF($C7  = 10, "4d8", )))))))))))</f>
        <v>1d10</v>
      </c>
      <c r="F7" s="77"/>
      <c r="G7" s="79"/>
      <c r="H7" s="81"/>
      <c r="I7" s="83"/>
      <c r="K7" s="84" t="s">
        <v>38</v>
      </c>
      <c r="L7" s="50" t="s">
        <v>39</v>
      </c>
      <c r="M7" s="12"/>
      <c r="N7" s="12"/>
    </row>
    <row r="8" spans="2:21" ht="15.75" thickBot="1" x14ac:dyDescent="0.3">
      <c r="B8" s="85" t="s">
        <v>17</v>
      </c>
      <c r="C8" s="86"/>
      <c r="D8" s="87"/>
      <c r="K8" s="84"/>
      <c r="L8" s="50"/>
      <c r="M8" s="12"/>
      <c r="N8" s="12"/>
    </row>
    <row r="9" spans="2:21" ht="15" customHeight="1" x14ac:dyDescent="0.25">
      <c r="B9" s="25" t="s">
        <v>52</v>
      </c>
      <c r="C9" s="7"/>
      <c r="D9" s="22" t="str">
        <f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88" t="s">
        <v>6</v>
      </c>
      <c r="G9" s="90" t="s">
        <v>105</v>
      </c>
      <c r="H9" s="90"/>
      <c r="I9" s="91"/>
      <c r="K9" s="12" t="s">
        <v>93</v>
      </c>
      <c r="L9" s="12" t="s">
        <v>75</v>
      </c>
      <c r="M9" s="12"/>
      <c r="N9" s="12"/>
    </row>
    <row r="10" spans="2:21" ht="15" customHeight="1" thickBot="1" x14ac:dyDescent="0.3">
      <c r="B10" s="23" t="s">
        <v>18</v>
      </c>
      <c r="C10" s="6"/>
      <c r="D10" s="24" t="str">
        <f>IF($C10 &lt;= 0, "1d2", IF($C10 = 1, "1d4", IF($C10  = 2, "1d6", IF($C10  = 3, "1d8", IF($C10  = 4, "1d10", IF($C10  = 5, "2d6", IF($C10  = 6, "2d8", IF($C10  = 7, "2d10", IF($C10  = 8, "3d8", IF($C10  = 9, "3d10", IF($C10  = 10, "4d8", )))))))))))</f>
        <v>1d2</v>
      </c>
      <c r="F10" s="89"/>
      <c r="G10" s="92"/>
      <c r="H10" s="92"/>
      <c r="I10" s="93"/>
      <c r="K10" s="12"/>
      <c r="L10" s="12"/>
      <c r="M10" s="12"/>
      <c r="N10" s="12"/>
    </row>
    <row r="11" spans="2:21" ht="15.75" customHeight="1" thickBot="1" x14ac:dyDescent="0.3">
      <c r="B11" s="25" t="s">
        <v>19</v>
      </c>
      <c r="C11" s="7">
        <v>4</v>
      </c>
      <c r="D11" s="22" t="str">
        <f>IF($C11 &lt;= 0, "1d2", IF($C11 = 1, "1d4", IF($C11  = 2, "1d6", IF($C11  = 3, "1d8", IF($C11  = 4, "1d10", IF($C11  = 5, "2d6", IF($C11  = 6, "2d8", IF($C11  = 7, "2d10", IF($C11  = 8, "3d8", IF($C11  = 9, "3d10", IF($C11  = 10, "4d8", )))))))))))</f>
        <v>1d10</v>
      </c>
      <c r="K11" s="12"/>
      <c r="L11" s="12"/>
      <c r="M11" s="12"/>
      <c r="N11" s="12"/>
    </row>
    <row r="12" spans="2:21" ht="15.75" customHeight="1" thickBot="1" x14ac:dyDescent="0.3">
      <c r="B12" s="23" t="s">
        <v>20</v>
      </c>
      <c r="C12" s="6">
        <v>3</v>
      </c>
      <c r="D12" s="24" t="str">
        <f>IF($C12 &lt;= 0, "1d2", IF($C12 = 1, "1d4", IF($C12  = 2, "1d6", IF($C12  = 3, "1d8", IF($C12  = 4, "1d10", IF($C12  = 5, "2d6", IF($C12  = 6, "2d8", IF($C12  = 7, "2d10", IF($C12  = 8, "3d8", IF($C12  = 9, "3d10", IF($C12  = 10, "4d8", )))))))))))</f>
        <v>1d8</v>
      </c>
      <c r="F12" s="94" t="s">
        <v>34</v>
      </c>
      <c r="G12" s="96">
        <f>8+G17</f>
        <v>11</v>
      </c>
      <c r="H12" s="96"/>
      <c r="I12" s="97"/>
      <c r="M12" s="12"/>
      <c r="N12" s="12"/>
    </row>
    <row r="13" spans="2:21" ht="15.75" customHeight="1" thickBot="1" x14ac:dyDescent="0.3">
      <c r="B13" s="100" t="s">
        <v>21</v>
      </c>
      <c r="C13" s="101"/>
      <c r="D13" s="102"/>
      <c r="F13" s="95"/>
      <c r="G13" s="98"/>
      <c r="H13" s="98"/>
      <c r="I13" s="99"/>
    </row>
    <row r="14" spans="2:21" ht="15" customHeight="1" thickBot="1" x14ac:dyDescent="0.3">
      <c r="B14" s="26" t="s">
        <v>22</v>
      </c>
      <c r="C14" s="5"/>
      <c r="D14" s="27" t="str">
        <f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21" ht="15" customHeight="1" x14ac:dyDescent="0.25">
      <c r="B15" s="28" t="s">
        <v>23</v>
      </c>
      <c r="C15" s="4"/>
      <c r="D15" s="29" t="str">
        <f>IF($C15 &lt;= 0, "1d2", IF($C15 = 1, "1d4", IF($C15  = 2, "1d6", IF($C15  = 3, "1d8", IF($C15  = 4, "1d10", IF($C15  = 5, "2d6", IF($C15  = 6, "2d8", IF($C15  = 7, "2d10", IF($C15  = 8, "3d8", IF($C15  = 9, "3d10", IF($C15  = 10, "4d8", )))))))))))</f>
        <v>1d2</v>
      </c>
      <c r="F15" s="103" t="s">
        <v>35</v>
      </c>
      <c r="G15" s="105">
        <v>1</v>
      </c>
      <c r="I15" s="107"/>
      <c r="J15" s="107"/>
      <c r="K15" s="107"/>
    </row>
    <row r="16" spans="2:21" ht="15.75" customHeight="1" thickBot="1" x14ac:dyDescent="0.3">
      <c r="B16" s="30" t="s">
        <v>24</v>
      </c>
      <c r="C16" s="3">
        <v>6</v>
      </c>
      <c r="D16" s="31" t="str">
        <f>IF($C16 &lt;= 0, "1d2", IF($C16 = 1, "1d4", IF($C16  = 2, "1d6", IF($C16  = 3, "1d8", IF($C16  = 4, "1d10", IF($C16  = 5, "2d6", IF($C16  = 6, "2d8", IF($C16  = 7, "2d10", IF($C16  = 8, "3d8", IF($C16  = 9, "3d10", IF($C16  = 10, "4d8", )))))))))))</f>
        <v>2d8</v>
      </c>
      <c r="F16" s="104"/>
      <c r="G16" s="106"/>
      <c r="I16" s="107"/>
      <c r="J16" s="107"/>
      <c r="K16" s="107"/>
    </row>
    <row r="17" spans="2:17" ht="15" customHeight="1" x14ac:dyDescent="0.25">
      <c r="B17" s="108" t="s">
        <v>32</v>
      </c>
      <c r="C17" s="109"/>
      <c r="D17" s="110"/>
      <c r="F17" s="111" t="s">
        <v>36</v>
      </c>
      <c r="G17" s="113">
        <v>3</v>
      </c>
      <c r="I17" s="107"/>
      <c r="J17" s="107"/>
      <c r="K17" s="107"/>
    </row>
    <row r="18" spans="2:17" ht="15.75" customHeight="1" thickBot="1" x14ac:dyDescent="0.3">
      <c r="B18" s="32" t="s">
        <v>25</v>
      </c>
      <c r="C18" s="1">
        <v>8</v>
      </c>
      <c r="D18" s="33" t="str">
        <f>IF($C18 &lt;= 0, "1d2", IF($C18 = 1, "1d4", IF($C18  = 2, "1d6", IF($C18  = 3, "1d8", IF($C18  = 4, "1d10", IF($C18  = 5, "2d6", IF($C18  = 6, "2d8", IF($C18  = 7, "2d10", IF($C18  = 8, "3d8", IF($C18  = 9, "3d10", IF($C18  = 10, "4d8", )))))))))))</f>
        <v>3d8</v>
      </c>
      <c r="F18" s="112"/>
      <c r="G18" s="114"/>
      <c r="I18" s="107"/>
      <c r="J18" s="107"/>
      <c r="K18" s="107"/>
    </row>
    <row r="19" spans="2:17" ht="15.75" thickBot="1" x14ac:dyDescent="0.3">
      <c r="B19" s="34" t="s">
        <v>26</v>
      </c>
      <c r="C19" s="2"/>
      <c r="D19" s="35" t="str">
        <f t="shared" ref="D19:D25" si="0">IF($C19 &lt;= 0, "1d2", IF($C19 = 1, "1d4", IF($C19  = 2, "1d6", IF($C19  = 3, "1d8", IF($C19  = 4, "1d10", IF($C19  = 5, "2d6", IF($C19  = 6, "2d8", IF($C19  = 7, "2d10", IF($C19  = 8, "3d8", IF($C19  = 9, "3d10", IF($C19  = 10, "4d8", )))))))))))</f>
        <v>1d2</v>
      </c>
    </row>
    <row r="20" spans="2:17" x14ac:dyDescent="0.25">
      <c r="B20" s="32" t="s">
        <v>27</v>
      </c>
      <c r="C20" s="1"/>
      <c r="D20" s="33" t="str">
        <f t="shared" si="0"/>
        <v>1d2</v>
      </c>
      <c r="F20" s="120" t="str">
        <f>IF(P18 = 0, "Defense Calculation", "Cálculo de Defesa")</f>
        <v>Defense Calculation</v>
      </c>
      <c r="G20" s="121"/>
      <c r="H20" s="121"/>
      <c r="I20" s="122"/>
    </row>
    <row r="21" spans="2:17" x14ac:dyDescent="0.25">
      <c r="B21" s="34" t="s">
        <v>28</v>
      </c>
      <c r="C21" s="2"/>
      <c r="D21" s="35" t="str">
        <f t="shared" si="0"/>
        <v>1d2</v>
      </c>
      <c r="F21" s="13" t="str">
        <f>IF(P18 = 0, "Pre-Defense", "Antes da Defesa")</f>
        <v>Pre-Defense</v>
      </c>
      <c r="G21" s="123" t="str">
        <f>IF(P18 = 0, "Post-Defense", "Pós-Defesa")</f>
        <v>Post-Defense</v>
      </c>
      <c r="H21" s="123"/>
      <c r="I21" s="124"/>
    </row>
    <row r="22" spans="2:17" ht="15" customHeight="1" x14ac:dyDescent="0.25">
      <c r="B22" s="32" t="s">
        <v>29</v>
      </c>
      <c r="C22" s="1"/>
      <c r="D22" s="33" t="str">
        <f t="shared" si="0"/>
        <v>1d2</v>
      </c>
      <c r="F22" s="125"/>
      <c r="G22" s="127" t="str">
        <f>IF(F22 = "", "", IF(G17 &lt; 0, F22 - (G15), IF(ROUNDUP(F22 * 15/(G17+15) - (G15), 0) &gt;= 0, ROUNDUP(F22 * 15/(G17+15) - (G15), 0), 0)))</f>
        <v/>
      </c>
      <c r="H22" s="127"/>
      <c r="I22" s="128"/>
    </row>
    <row r="23" spans="2:17" ht="15.75" customHeight="1" thickBot="1" x14ac:dyDescent="0.3">
      <c r="B23" s="34" t="s">
        <v>8</v>
      </c>
      <c r="C23" s="2"/>
      <c r="D23" s="35" t="str">
        <f t="shared" si="0"/>
        <v>1d2</v>
      </c>
      <c r="F23" s="126"/>
      <c r="G23" s="129"/>
      <c r="H23" s="129"/>
      <c r="I23" s="130"/>
    </row>
    <row r="24" spans="2:17" ht="15.75" thickBot="1" x14ac:dyDescent="0.3">
      <c r="B24" s="32" t="s">
        <v>30</v>
      </c>
      <c r="C24" s="1"/>
      <c r="D24" s="33" t="str">
        <f t="shared" si="0"/>
        <v>1d2</v>
      </c>
      <c r="K24" s="115" t="s">
        <v>9</v>
      </c>
      <c r="L24" s="115" t="s">
        <v>10</v>
      </c>
      <c r="M24" s="115" t="s">
        <v>2</v>
      </c>
      <c r="N24" s="115" t="s">
        <v>11</v>
      </c>
    </row>
    <row r="25" spans="2:17" ht="15" customHeight="1" thickBot="1" x14ac:dyDescent="0.3">
      <c r="B25" s="36" t="s">
        <v>31</v>
      </c>
      <c r="C25" s="37"/>
      <c r="D25" s="38" t="str">
        <f t="shared" si="0"/>
        <v>1d2</v>
      </c>
      <c r="F25" s="116" t="s">
        <v>33</v>
      </c>
      <c r="G25" s="118">
        <v>3</v>
      </c>
      <c r="K25" s="115"/>
      <c r="L25" s="115"/>
      <c r="M25" s="115"/>
      <c r="N25" s="115"/>
    </row>
    <row r="26" spans="2:17" ht="30.75" thickBot="1" x14ac:dyDescent="0.3">
      <c r="F26" s="117"/>
      <c r="G26" s="119"/>
      <c r="K26" s="12" t="s">
        <v>106</v>
      </c>
      <c r="L26" s="39" t="s">
        <v>108</v>
      </c>
      <c r="M26" s="12" t="s">
        <v>48</v>
      </c>
      <c r="N26" s="12" t="s">
        <v>48</v>
      </c>
      <c r="O26" s="12"/>
      <c r="P26" s="12"/>
      <c r="Q26" s="12"/>
    </row>
    <row r="27" spans="2:17" ht="60" x14ac:dyDescent="0.25">
      <c r="F27" s="88" t="s">
        <v>99</v>
      </c>
      <c r="G27" s="132">
        <v>2</v>
      </c>
      <c r="K27" s="12" t="s">
        <v>112</v>
      </c>
      <c r="L27" s="39" t="s">
        <v>113</v>
      </c>
      <c r="M27" s="12" t="s">
        <v>48</v>
      </c>
      <c r="N27" s="12" t="s">
        <v>48</v>
      </c>
      <c r="O27" s="12"/>
      <c r="P27" s="12"/>
      <c r="Q27" s="12"/>
    </row>
    <row r="28" spans="2:17" ht="15.75" thickBot="1" x14ac:dyDescent="0.3">
      <c r="F28" s="89"/>
      <c r="G28" s="133"/>
      <c r="K28" s="12"/>
      <c r="L28" s="39"/>
      <c r="M28" s="12"/>
      <c r="N28" s="12"/>
      <c r="O28" s="12"/>
      <c r="P28" s="12"/>
      <c r="Q28" s="12"/>
    </row>
    <row r="29" spans="2:17" x14ac:dyDescent="0.25">
      <c r="K29" s="12"/>
      <c r="L29" s="39"/>
      <c r="M29" s="12"/>
      <c r="N29" s="12"/>
      <c r="O29" s="12"/>
      <c r="P29" s="12"/>
      <c r="Q29" s="12"/>
    </row>
    <row r="30" spans="2:17" ht="18.75" x14ac:dyDescent="0.25">
      <c r="F30" s="47" t="s">
        <v>102</v>
      </c>
      <c r="G30" s="49">
        <v>5</v>
      </c>
      <c r="K30" s="12"/>
      <c r="L30" s="39"/>
      <c r="M30" s="12"/>
      <c r="N30" s="12"/>
      <c r="O30" s="12"/>
      <c r="P30" s="12"/>
      <c r="Q30" s="12"/>
    </row>
    <row r="31" spans="2:17" x14ac:dyDescent="0.25">
      <c r="K31" s="12"/>
      <c r="L31" s="39"/>
      <c r="M31" s="12"/>
      <c r="N31" s="12"/>
      <c r="O31" s="12"/>
      <c r="P31" s="12"/>
      <c r="Q31" s="12"/>
    </row>
    <row r="32" spans="2:17" x14ac:dyDescent="0.25">
      <c r="K32" s="12"/>
      <c r="L32" s="39"/>
      <c r="M32" s="12"/>
      <c r="N32" s="12"/>
      <c r="O32" s="12"/>
      <c r="P32" s="12"/>
      <c r="Q32" s="12"/>
    </row>
    <row r="33" spans="11:17" x14ac:dyDescent="0.25">
      <c r="K33" s="12"/>
      <c r="L33" s="12"/>
      <c r="M33" s="12"/>
      <c r="N33" s="12"/>
      <c r="O33" s="12"/>
      <c r="P33" s="12"/>
      <c r="Q33" s="12"/>
    </row>
    <row r="34" spans="11:17" x14ac:dyDescent="0.25">
      <c r="K34" s="12"/>
      <c r="L34" s="12"/>
      <c r="M34" s="12"/>
      <c r="N34" s="12"/>
      <c r="O34" s="12"/>
      <c r="P34" s="12"/>
      <c r="Q34" s="12"/>
    </row>
    <row r="35" spans="11:17" x14ac:dyDescent="0.25">
      <c r="K35" s="12"/>
      <c r="L35" s="12"/>
      <c r="M35" s="12"/>
      <c r="N35" s="12"/>
      <c r="O35" s="12"/>
      <c r="P35" s="12"/>
      <c r="Q35" s="12"/>
    </row>
    <row r="36" spans="11:17" x14ac:dyDescent="0.25">
      <c r="K36" s="12"/>
      <c r="L36" s="39" t="s">
        <v>74</v>
      </c>
      <c r="M36" s="39"/>
      <c r="N36" s="12"/>
    </row>
  </sheetData>
  <mergeCells count="43">
    <mergeCell ref="L7:L8"/>
    <mergeCell ref="L2:L3"/>
    <mergeCell ref="P2:U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  <mergeCell ref="H6:H7"/>
    <mergeCell ref="I6:I7"/>
    <mergeCell ref="K7:K8"/>
    <mergeCell ref="B8:D8"/>
    <mergeCell ref="F9:F10"/>
    <mergeCell ref="G9:I10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F20:I20"/>
    <mergeCell ref="G21:I21"/>
    <mergeCell ref="F22:F23"/>
    <mergeCell ref="G22:I23"/>
    <mergeCell ref="K24:K25"/>
    <mergeCell ref="M24:M25"/>
    <mergeCell ref="N24:N25"/>
    <mergeCell ref="F25:F26"/>
    <mergeCell ref="G25:G26"/>
    <mergeCell ref="F27:F28"/>
    <mergeCell ref="G27:G28"/>
    <mergeCell ref="L24:L25"/>
  </mergeCell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26625" r:id="rId4" name="CommandButton1"/>
      </mc:Fallback>
    </mc:AlternateContent>
  </controls>
  <tableParts count="6"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Enemy Sheet Template</vt:lpstr>
      <vt:lpstr>Harpy Lv2</vt:lpstr>
      <vt:lpstr>Harpy Lv4</vt:lpstr>
      <vt:lpstr>Harpy Matriarc (Lv1-Boss)</vt:lpstr>
      <vt:lpstr>Baby Boitatá Lv4</vt:lpstr>
      <vt:lpstr>Boitatá (Lv2-Boss)</vt:lpstr>
      <vt:lpstr>Bullywug Spearman Lv3</vt:lpstr>
      <vt:lpstr>Bullywug Scout Lv2</vt:lpstr>
      <vt:lpstr>Ent Lv2</vt:lpstr>
      <vt:lpstr>Wolf lv2</vt:lpstr>
      <vt:lpstr>Skeleton Hand (Lv2 Minion)</vt:lpstr>
      <vt:lpstr>Skeleton Half-Leg (Lv2.5)</vt:lpstr>
      <vt:lpstr>Skeleton Head (Lv3)</vt:lpstr>
      <vt:lpstr>Basilisk (Lv3-Boss)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2018-02-05T19:33:52Z</dcterms:created>
  <dcterms:modified xsi:type="dcterms:W3CDTF">2019-02-04T18:25:16Z</dcterms:modified>
</cp:coreProperties>
</file>