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Assets\excell sheets\"/>
    </mc:Choice>
  </mc:AlternateContent>
  <bookViews>
    <workbookView xWindow="0" yWindow="0" windowWidth="11595" windowHeight="4890" tabRatio="803" activeTab="1"/>
  </bookViews>
  <sheets>
    <sheet name="Enemy Sheet Template" sheetId="30" r:id="rId1"/>
    <sheet name="Boss sheet Template" sheetId="28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30" l="1"/>
  <c r="D24" i="30"/>
  <c r="D23" i="30"/>
  <c r="G22" i="30"/>
  <c r="D22" i="30"/>
  <c r="G21" i="30"/>
  <c r="F21" i="30"/>
  <c r="D21" i="30"/>
  <c r="F20" i="30"/>
  <c r="D20" i="30"/>
  <c r="D19" i="30"/>
  <c r="D18" i="30"/>
  <c r="D16" i="30"/>
  <c r="D15" i="30"/>
  <c r="D14" i="30"/>
  <c r="G12" i="30"/>
  <c r="D12" i="30"/>
  <c r="D11" i="30"/>
  <c r="D10" i="30"/>
  <c r="D9" i="30"/>
  <c r="D7" i="30"/>
  <c r="D6" i="30"/>
  <c r="D5" i="30"/>
  <c r="Q3" i="30"/>
  <c r="P3" i="30"/>
  <c r="N3" i="30"/>
  <c r="D25" i="28"/>
  <c r="D24" i="28"/>
  <c r="D23" i="28"/>
  <c r="G22" i="28"/>
  <c r="D22" i="28"/>
  <c r="G21" i="28"/>
  <c r="F21" i="28"/>
  <c r="D21" i="28"/>
  <c r="F20" i="28"/>
  <c r="D20" i="28"/>
  <c r="D19" i="28"/>
  <c r="D18" i="28"/>
  <c r="D16" i="28"/>
  <c r="D15" i="28"/>
  <c r="D14" i="28"/>
  <c r="G12" i="28"/>
  <c r="D12" i="28"/>
  <c r="D11" i="28"/>
  <c r="D10" i="28"/>
  <c r="D9" i="28"/>
  <c r="D7" i="28"/>
  <c r="D6" i="28"/>
  <c r="D5" i="28"/>
  <c r="Q3" i="28"/>
  <c r="P3" i="28"/>
  <c r="N3" i="28"/>
</calcChain>
</file>

<file path=xl/sharedStrings.xml><?xml version="1.0" encoding="utf-8"?>
<sst xmlns="http://schemas.openxmlformats.org/spreadsheetml/2006/main" count="115" uniqueCount="50">
  <si>
    <t>Name</t>
  </si>
  <si>
    <t>Dice</t>
  </si>
  <si>
    <t>Attribute</t>
  </si>
  <si>
    <t>HP:</t>
  </si>
  <si>
    <t>/</t>
  </si>
  <si>
    <t>MANA:</t>
  </si>
  <si>
    <t>Attacks With:</t>
  </si>
  <si>
    <t>Agility</t>
  </si>
  <si>
    <t>Movement</t>
  </si>
  <si>
    <t>Skill / Perk / Feat</t>
  </si>
  <si>
    <t>Description</t>
  </si>
  <si>
    <t>Cost</t>
  </si>
  <si>
    <t>Fortitude</t>
  </si>
  <si>
    <t>Might</t>
  </si>
  <si>
    <t>Attributes</t>
  </si>
  <si>
    <t>Score</t>
  </si>
  <si>
    <t>Physical</t>
  </si>
  <si>
    <t>Mental</t>
  </si>
  <si>
    <t>Logic</t>
  </si>
  <si>
    <t>Perception</t>
  </si>
  <si>
    <t>Will</t>
  </si>
  <si>
    <t>Social</t>
  </si>
  <si>
    <t>Deception</t>
  </si>
  <si>
    <t>Persuation</t>
  </si>
  <si>
    <t>Presence</t>
  </si>
  <si>
    <t>Alteration</t>
  </si>
  <si>
    <t>Creation</t>
  </si>
  <si>
    <t>Energy</t>
  </si>
  <si>
    <t>Entropy</t>
  </si>
  <si>
    <t>Influcence</t>
  </si>
  <si>
    <t>Prescience</t>
  </si>
  <si>
    <t>Protection</t>
  </si>
  <si>
    <t>Extraordinary</t>
  </si>
  <si>
    <t>Level</t>
  </si>
  <si>
    <t>To Hit</t>
  </si>
  <si>
    <t>GUARD</t>
  </si>
  <si>
    <t>DODGE</t>
  </si>
  <si>
    <t>STAMINA:</t>
  </si>
  <si>
    <t>Weaknesses</t>
  </si>
  <si>
    <t>Resistances</t>
  </si>
  <si>
    <t>Absorbs</t>
  </si>
  <si>
    <t>Immunities</t>
  </si>
  <si>
    <t>-</t>
  </si>
  <si>
    <t>Learning</t>
  </si>
  <si>
    <t>Banes &amp; Boons</t>
  </si>
  <si>
    <t>Bane or Boon?</t>
  </si>
  <si>
    <t>Power Level</t>
  </si>
  <si>
    <t>Duration</t>
  </si>
  <si>
    <t>Boss Edge</t>
  </si>
  <si>
    <t>Movement: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</si>
</sst>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4"/>
      <color rgb="FF883406"/>
      <name val="Calibri"/>
      <family val="2"/>
      <scheme val="minor"/>
    </font>
    <font>
      <sz val="16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6"/>
      <color rgb="FF7E691C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8"/>
      <color rgb="FF006100"/>
      <name val="Calibri"/>
      <family val="2"/>
      <scheme val="minor"/>
    </font>
    <font>
      <sz val="26"/>
      <color theme="1"/>
      <name val="Calibri"/>
      <family val="2"/>
      <scheme val="minor"/>
    </font>
    <font>
      <sz val="28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0"/>
      <color rgb="FF00610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72"/>
      <color rgb="FF9C6500"/>
      <name val="Calibri"/>
      <family val="2"/>
      <scheme val="minor"/>
    </font>
    <font>
      <sz val="14"/>
      <color rgb="FF3F3F76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99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FE7550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FEB9C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2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3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9" fillId="23" borderId="9" applyNumberFormat="0" applyAlignment="0" applyProtection="0"/>
    <xf numFmtId="0" fontId="3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5" fillId="29" borderId="0" applyNumberFormat="0" applyBorder="0" applyAlignment="0" applyProtection="0"/>
    <xf numFmtId="0" fontId="3" fillId="30" borderId="0" applyNumberFormat="0" applyBorder="0" applyAlignment="0" applyProtection="0"/>
    <xf numFmtId="0" fontId="22" fillId="31" borderId="0" applyNumberFormat="0" applyBorder="0" applyAlignment="0" applyProtection="0"/>
  </cellStyleXfs>
  <cellXfs count="128">
    <xf numFmtId="0" fontId="0" fillId="0" borderId="0" xfId="0"/>
    <xf numFmtId="0" fontId="1" fillId="13" borderId="0" xfId="12" applyBorder="1" applyAlignment="1">
      <alignment horizontal="center"/>
    </xf>
    <xf numFmtId="0" fontId="1" fillId="12" borderId="0" xfId="11" applyBorder="1" applyAlignment="1">
      <alignment horizontal="center"/>
    </xf>
    <xf numFmtId="0" fontId="1" fillId="16" borderId="2" xfId="15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4" borderId="0" xfId="3" applyBorder="1" applyAlignment="1">
      <alignment horizontal="center"/>
    </xf>
    <xf numFmtId="0" fontId="1" fillId="5" borderId="0" xfId="4" applyBorder="1" applyAlignment="1">
      <alignment horizontal="center"/>
    </xf>
    <xf numFmtId="0" fontId="1" fillId="8" borderId="2" xfId="7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3" fillId="10" borderId="3" xfId="9" applyBorder="1" applyAlignment="1">
      <alignment horizontal="center"/>
    </xf>
    <xf numFmtId="0" fontId="0" fillId="0" borderId="0" xfId="0" applyAlignment="1">
      <alignment horizontal="center" vertical="center"/>
    </xf>
    <xf numFmtId="0" fontId="3" fillId="26" borderId="16" xfId="19" applyBorder="1" applyAlignment="1">
      <alignment horizontal="center"/>
    </xf>
    <xf numFmtId="0" fontId="3" fillId="10" borderId="22" xfId="9" applyBorder="1" applyAlignment="1">
      <alignment horizontal="center"/>
    </xf>
    <xf numFmtId="0" fontId="3" fillId="10" borderId="23" xfId="9" applyBorder="1" applyAlignment="1">
      <alignment horizontal="center"/>
    </xf>
    <xf numFmtId="0" fontId="0" fillId="8" borderId="22" xfId="7" applyFont="1" applyBorder="1"/>
    <xf numFmtId="0" fontId="1" fillId="8" borderId="24" xfId="7" applyBorder="1" applyAlignment="1">
      <alignment horizontal="center"/>
    </xf>
    <xf numFmtId="0" fontId="0" fillId="7" borderId="22" xfId="6" applyFont="1" applyBorder="1"/>
    <xf numFmtId="0" fontId="1" fillId="7" borderId="24" xfId="6" applyBorder="1" applyAlignment="1">
      <alignment horizontal="center"/>
    </xf>
    <xf numFmtId="0" fontId="0" fillId="8" borderId="7" xfId="7" applyFont="1" applyBorder="1"/>
    <xf numFmtId="0" fontId="1" fillId="8" borderId="8" xfId="7" applyBorder="1" applyAlignment="1">
      <alignment horizontal="center"/>
    </xf>
    <xf numFmtId="0" fontId="1" fillId="5" borderId="24" xfId="4" applyBorder="1" applyAlignment="1">
      <alignment horizontal="center"/>
    </xf>
    <xf numFmtId="0" fontId="0" fillId="4" borderId="22" xfId="3" applyFont="1" applyBorder="1"/>
    <xf numFmtId="0" fontId="1" fillId="4" borderId="24" xfId="3" applyBorder="1" applyAlignment="1">
      <alignment horizontal="center"/>
    </xf>
    <xf numFmtId="0" fontId="0" fillId="5" borderId="22" xfId="4" applyFont="1" applyBorder="1"/>
    <xf numFmtId="0" fontId="0" fillId="16" borderId="22" xfId="15" applyFont="1" applyBorder="1"/>
    <xf numFmtId="0" fontId="1" fillId="16" borderId="24" xfId="15" applyBorder="1" applyAlignment="1">
      <alignment horizontal="center"/>
    </xf>
    <xf numFmtId="0" fontId="0" fillId="15" borderId="22" xfId="14" applyFont="1" applyBorder="1"/>
    <xf numFmtId="0" fontId="1" fillId="15" borderId="24" xfId="14" applyBorder="1" applyAlignment="1">
      <alignment horizontal="center"/>
    </xf>
    <xf numFmtId="0" fontId="0" fillId="16" borderId="7" xfId="15" applyFont="1" applyBorder="1"/>
    <xf numFmtId="0" fontId="1" fillId="16" borderId="8" xfId="15" applyBorder="1" applyAlignment="1">
      <alignment horizontal="center"/>
    </xf>
    <xf numFmtId="0" fontId="0" fillId="13" borderId="22" xfId="12" applyFont="1" applyBorder="1"/>
    <xf numFmtId="0" fontId="1" fillId="13" borderId="24" xfId="12" applyBorder="1" applyAlignment="1">
      <alignment horizontal="center"/>
    </xf>
    <xf numFmtId="0" fontId="0" fillId="12" borderId="22" xfId="11" applyFont="1" applyBorder="1"/>
    <xf numFmtId="0" fontId="1" fillId="12" borderId="24" xfId="11" applyBorder="1" applyAlignment="1">
      <alignment horizontal="center"/>
    </xf>
    <xf numFmtId="0" fontId="0" fillId="12" borderId="7" xfId="11" applyFont="1" applyBorder="1"/>
    <xf numFmtId="0" fontId="1" fillId="12" borderId="2" xfId="11" applyBorder="1" applyAlignment="1">
      <alignment horizontal="center"/>
    </xf>
    <xf numFmtId="0" fontId="1" fillId="12" borderId="8" xfId="1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3" fillId="30" borderId="0" xfId="21" applyAlignment="1">
      <alignment horizontal="center" vertical="center"/>
    </xf>
    <xf numFmtId="0" fontId="3" fillId="30" borderId="0" xfId="21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 wrapText="1"/>
    </xf>
    <xf numFmtId="0" fontId="24" fillId="23" borderId="26" xfId="16" applyFont="1" applyBorder="1" applyAlignment="1">
      <alignment horizontal="center" vertical="center"/>
    </xf>
    <xf numFmtId="0" fontId="24" fillId="23" borderId="25" xfId="16" applyFont="1" applyBorder="1" applyAlignment="1">
      <alignment horizontal="center"/>
    </xf>
    <xf numFmtId="0" fontId="8" fillId="20" borderId="0" xfId="0" applyFont="1" applyFill="1" applyAlignment="1">
      <alignment horizontal="center" vertical="center"/>
    </xf>
    <xf numFmtId="0" fontId="4" fillId="21" borderId="4" xfId="0" applyFont="1" applyFill="1" applyBorder="1" applyAlignment="1">
      <alignment horizontal="center" vertical="center"/>
    </xf>
    <xf numFmtId="0" fontId="4" fillId="21" borderId="7" xfId="0" applyFont="1" applyFill="1" applyBorder="1" applyAlignment="1">
      <alignment horizontal="center" vertical="center"/>
    </xf>
    <xf numFmtId="0" fontId="14" fillId="22" borderId="6" xfId="0" applyFont="1" applyFill="1" applyBorder="1" applyAlignment="1">
      <alignment horizontal="center" vertical="center"/>
    </xf>
    <xf numFmtId="0" fontId="14" fillId="22" borderId="8" xfId="0" applyFont="1" applyFill="1" applyBorder="1" applyAlignment="1">
      <alignment horizontal="center" vertical="center"/>
    </xf>
    <xf numFmtId="0" fontId="3" fillId="24" borderId="14" xfId="17" applyBorder="1" applyAlignment="1">
      <alignment horizontal="center"/>
    </xf>
    <xf numFmtId="0" fontId="3" fillId="24" borderId="1" xfId="17" applyBorder="1" applyAlignment="1">
      <alignment horizontal="center"/>
    </xf>
    <xf numFmtId="0" fontId="3" fillId="24" borderId="15" xfId="17" applyBorder="1" applyAlignment="1">
      <alignment horizontal="center"/>
    </xf>
    <xf numFmtId="0" fontId="3" fillId="26" borderId="17" xfId="19" applyBorder="1" applyAlignment="1">
      <alignment horizontal="center"/>
    </xf>
    <xf numFmtId="0" fontId="3" fillId="26" borderId="18" xfId="19" applyBorder="1" applyAlignment="1">
      <alignment horizontal="center"/>
    </xf>
    <xf numFmtId="0" fontId="4" fillId="25" borderId="19" xfId="18" applyFont="1" applyBorder="1" applyAlignment="1">
      <alignment horizontal="center" vertical="center"/>
    </xf>
    <xf numFmtId="0" fontId="4" fillId="25" borderId="7" xfId="18" applyFont="1" applyBorder="1" applyAlignment="1">
      <alignment horizontal="center" vertical="center"/>
    </xf>
    <xf numFmtId="0" fontId="4" fillId="25" borderId="20" xfId="18" applyFont="1" applyBorder="1" applyAlignment="1">
      <alignment horizontal="center" vertical="center"/>
    </xf>
    <xf numFmtId="0" fontId="4" fillId="25" borderId="21" xfId="18" applyFont="1" applyBorder="1" applyAlignment="1">
      <alignment horizontal="center" vertical="center"/>
    </xf>
    <xf numFmtId="0" fontId="4" fillId="25" borderId="2" xfId="18" applyFont="1" applyBorder="1" applyAlignment="1">
      <alignment horizontal="center" vertical="center"/>
    </xf>
    <xf numFmtId="0" fontId="4" fillId="25" borderId="8" xfId="18" applyFont="1" applyBorder="1" applyAlignment="1">
      <alignment horizontal="center" vertical="center"/>
    </xf>
    <xf numFmtId="0" fontId="14" fillId="21" borderId="4" xfId="0" applyFont="1" applyFill="1" applyBorder="1" applyAlignment="1">
      <alignment horizontal="center" vertical="center"/>
    </xf>
    <xf numFmtId="0" fontId="14" fillId="21" borderId="7" xfId="0" applyFont="1" applyFill="1" applyBorder="1" applyAlignment="1">
      <alignment horizontal="center" vertical="center"/>
    </xf>
    <xf numFmtId="0" fontId="17" fillId="22" borderId="5" xfId="0" applyFont="1" applyFill="1" applyBorder="1" applyAlignment="1">
      <alignment horizontal="center" vertical="center"/>
    </xf>
    <xf numFmtId="0" fontId="17" fillId="22" borderId="6" xfId="0" applyFont="1" applyFill="1" applyBorder="1" applyAlignment="1">
      <alignment horizontal="center" vertical="center"/>
    </xf>
    <xf numFmtId="0" fontId="17" fillId="22" borderId="2" xfId="0" applyFont="1" applyFill="1" applyBorder="1" applyAlignment="1">
      <alignment horizontal="center" vertical="center"/>
    </xf>
    <xf numFmtId="0" fontId="17" fillId="22" borderId="8" xfId="0" applyFont="1" applyFill="1" applyBorder="1" applyAlignment="1">
      <alignment horizontal="center" vertical="center"/>
    </xf>
    <xf numFmtId="0" fontId="3" fillId="14" borderId="14" xfId="13" applyBorder="1" applyAlignment="1">
      <alignment horizontal="center"/>
    </xf>
    <xf numFmtId="0" fontId="3" fillId="14" borderId="1" xfId="13" applyBorder="1" applyAlignment="1">
      <alignment horizontal="center"/>
    </xf>
    <xf numFmtId="0" fontId="3" fillId="14" borderId="15" xfId="13" applyBorder="1" applyAlignment="1">
      <alignment horizontal="center"/>
    </xf>
    <xf numFmtId="0" fontId="10" fillId="27" borderId="4" xfId="16" applyFont="1" applyFill="1" applyBorder="1" applyAlignment="1">
      <alignment horizontal="center" vertical="center"/>
    </xf>
    <xf numFmtId="0" fontId="10" fillId="27" borderId="10" xfId="16" applyFont="1" applyFill="1" applyBorder="1" applyAlignment="1">
      <alignment horizontal="center" vertical="center"/>
    </xf>
    <xf numFmtId="0" fontId="11" fillId="27" borderId="6" xfId="16" applyFont="1" applyFill="1" applyBorder="1" applyAlignment="1">
      <alignment horizontal="center" vertical="center"/>
    </xf>
    <xf numFmtId="0" fontId="11" fillId="27" borderId="11" xfId="16" applyFont="1" applyFill="1" applyBorder="1" applyAlignment="1">
      <alignment horizontal="center" vertical="center"/>
    </xf>
    <xf numFmtId="0" fontId="23" fillId="31" borderId="0" xfId="22" applyFont="1" applyAlignment="1">
      <alignment horizontal="center"/>
    </xf>
    <xf numFmtId="0" fontId="3" fillId="11" borderId="14" xfId="10" applyBorder="1" applyAlignment="1">
      <alignment horizontal="center"/>
    </xf>
    <xf numFmtId="0" fontId="3" fillId="11" borderId="1" xfId="10" applyBorder="1" applyAlignment="1">
      <alignment horizontal="center"/>
    </xf>
    <xf numFmtId="0" fontId="3" fillId="11" borderId="15" xfId="10" applyBorder="1" applyAlignment="1">
      <alignment horizontal="center"/>
    </xf>
    <xf numFmtId="0" fontId="12" fillId="28" borderId="12" xfId="16" applyFont="1" applyFill="1" applyBorder="1" applyAlignment="1">
      <alignment horizontal="center" vertical="center"/>
    </xf>
    <xf numFmtId="0" fontId="12" fillId="28" borderId="7" xfId="16" applyFont="1" applyFill="1" applyBorder="1" applyAlignment="1">
      <alignment horizontal="center" vertical="center"/>
    </xf>
    <xf numFmtId="0" fontId="13" fillId="28" borderId="13" xfId="16" applyFont="1" applyFill="1" applyBorder="1" applyAlignment="1">
      <alignment horizontal="center" vertical="center"/>
    </xf>
    <xf numFmtId="0" fontId="13" fillId="28" borderId="8" xfId="16" applyFont="1" applyFill="1" applyBorder="1" applyAlignment="1">
      <alignment horizontal="center" vertical="center"/>
    </xf>
    <xf numFmtId="0" fontId="16" fillId="29" borderId="5" xfId="20" applyFont="1" applyBorder="1" applyAlignment="1">
      <alignment horizontal="center" vertical="center"/>
    </xf>
    <xf numFmtId="0" fontId="16" fillId="29" borderId="2" xfId="20" applyFont="1" applyBorder="1" applyAlignment="1">
      <alignment horizontal="center" vertical="center"/>
    </xf>
    <xf numFmtId="0" fontId="20" fillId="29" borderId="6" xfId="20" applyFont="1" applyBorder="1" applyAlignment="1">
      <alignment horizontal="center" vertical="center"/>
    </xf>
    <xf numFmtId="0" fontId="20" fillId="29" borderId="8" xfId="20" applyFont="1" applyBorder="1" applyAlignment="1">
      <alignment horizontal="center" vertical="center"/>
    </xf>
    <xf numFmtId="0" fontId="21" fillId="6" borderId="0" xfId="5" applyFont="1" applyAlignment="1">
      <alignment horizontal="center" vertical="center"/>
    </xf>
    <xf numFmtId="0" fontId="3" fillId="3" borderId="14" xfId="2" applyBorder="1" applyAlignment="1">
      <alignment horizontal="center"/>
    </xf>
    <xf numFmtId="0" fontId="3" fillId="3" borderId="1" xfId="2" applyBorder="1" applyAlignment="1">
      <alignment horizontal="center"/>
    </xf>
    <xf numFmtId="0" fontId="3" fillId="3" borderId="15" xfId="2" applyBorder="1" applyAlignment="1">
      <alignment horizontal="center"/>
    </xf>
    <xf numFmtId="0" fontId="4" fillId="18" borderId="4" xfId="0" applyFont="1" applyFill="1" applyBorder="1" applyAlignment="1">
      <alignment horizontal="center" vertical="center"/>
    </xf>
    <xf numFmtId="0" fontId="4" fillId="18" borderId="7" xfId="0" applyFont="1" applyFill="1" applyBorder="1" applyAlignment="1">
      <alignment horizontal="center" vertical="center"/>
    </xf>
    <xf numFmtId="0" fontId="5" fillId="19" borderId="5" xfId="0" applyFont="1" applyFill="1" applyBorder="1" applyAlignment="1">
      <alignment horizontal="center" vertical="center"/>
    </xf>
    <xf numFmtId="0" fontId="5" fillId="19" borderId="6" xfId="0" applyFon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5" fillId="19" borderId="8" xfId="0" applyFont="1" applyFill="1" applyBorder="1" applyAlignment="1">
      <alignment horizontal="center" vertical="center"/>
    </xf>
    <xf numFmtId="0" fontId="21" fillId="14" borderId="0" xfId="13" applyFont="1" applyAlignment="1">
      <alignment horizontal="center" vertical="center"/>
    </xf>
    <xf numFmtId="0" fontId="21" fillId="9" borderId="0" xfId="8" applyFont="1" applyAlignment="1">
      <alignment horizontal="center" vertical="center"/>
    </xf>
    <xf numFmtId="0" fontId="8" fillId="3" borderId="0" xfId="2" applyFont="1" applyAlignment="1">
      <alignment horizontal="center" vertical="center"/>
    </xf>
    <xf numFmtId="0" fontId="3" fillId="6" borderId="14" xfId="5" applyBorder="1" applyAlignment="1">
      <alignment horizontal="center"/>
    </xf>
    <xf numFmtId="0" fontId="3" fillId="6" borderId="1" xfId="5" applyBorder="1" applyAlignment="1">
      <alignment horizontal="center"/>
    </xf>
    <xf numFmtId="0" fontId="3" fillId="6" borderId="15" xfId="5" applyBorder="1" applyAlignment="1">
      <alignment horizontal="center"/>
    </xf>
    <xf numFmtId="0" fontId="7" fillId="17" borderId="4" xfId="1" applyFont="1" applyFill="1" applyBorder="1" applyAlignment="1">
      <alignment horizontal="center" vertical="center"/>
    </xf>
    <xf numFmtId="0" fontId="7" fillId="17" borderId="7" xfId="1" applyFont="1" applyFill="1" applyBorder="1" applyAlignment="1">
      <alignment horizontal="center" vertical="center"/>
    </xf>
    <xf numFmtId="0" fontId="19" fillId="17" borderId="5" xfId="1" applyFont="1" applyFill="1" applyBorder="1" applyAlignment="1">
      <alignment horizontal="center" vertical="center"/>
    </xf>
    <xf numFmtId="0" fontId="19" fillId="17" borderId="2" xfId="1" applyFont="1" applyFill="1" applyBorder="1" applyAlignment="1">
      <alignment horizontal="center" vertical="center"/>
    </xf>
    <xf numFmtId="0" fontId="7" fillId="17" borderId="5" xfId="1" applyFont="1" applyFill="1" applyBorder="1" applyAlignment="1">
      <alignment horizontal="center" vertical="center"/>
    </xf>
    <xf numFmtId="0" fontId="7" fillId="17" borderId="2" xfId="1" applyFont="1" applyFill="1" applyBorder="1" applyAlignment="1">
      <alignment horizontal="center" vertical="center"/>
    </xf>
    <xf numFmtId="0" fontId="19" fillId="17" borderId="6" xfId="1" applyFont="1" applyFill="1" applyBorder="1" applyAlignment="1">
      <alignment horizontal="center" vertical="center"/>
    </xf>
    <xf numFmtId="0" fontId="19" fillId="17" borderId="8" xfId="1" applyFont="1" applyFill="1" applyBorder="1" applyAlignment="1">
      <alignment horizontal="center" vertical="center"/>
    </xf>
    <xf numFmtId="0" fontId="3" fillId="9" borderId="14" xfId="8" applyBorder="1" applyAlignment="1">
      <alignment horizontal="center"/>
    </xf>
    <xf numFmtId="0" fontId="3" fillId="9" borderId="1" xfId="8" applyBorder="1" applyAlignment="1">
      <alignment horizontal="center"/>
    </xf>
    <xf numFmtId="0" fontId="3" fillId="9" borderId="15" xfId="8" applyBorder="1" applyAlignment="1">
      <alignment horizontal="center"/>
    </xf>
    <xf numFmtId="0" fontId="6" fillId="2" borderId="4" xfId="1" applyFont="1" applyBorder="1" applyAlignment="1">
      <alignment horizontal="center" vertical="center"/>
    </xf>
    <xf numFmtId="0" fontId="6" fillId="2" borderId="7" xfId="1" applyFont="1" applyBorder="1" applyAlignment="1">
      <alignment horizontal="center" vertical="center"/>
    </xf>
    <xf numFmtId="0" fontId="18" fillId="2" borderId="5" xfId="1" applyFont="1" applyBorder="1" applyAlignment="1">
      <alignment horizontal="center" vertical="center"/>
    </xf>
    <xf numFmtId="0" fontId="18" fillId="2" borderId="2" xfId="1" applyFont="1" applyBorder="1" applyAlignment="1">
      <alignment horizontal="center" vertical="center"/>
    </xf>
    <xf numFmtId="0" fontId="6" fillId="2" borderId="5" xfId="1" applyFont="1" applyBorder="1" applyAlignment="1">
      <alignment horizontal="center" vertical="center"/>
    </xf>
    <xf numFmtId="0" fontId="6" fillId="2" borderId="2" xfId="1" applyFont="1" applyBorder="1" applyAlignment="1">
      <alignment horizontal="center" vertical="center"/>
    </xf>
    <xf numFmtId="0" fontId="18" fillId="2" borderId="6" xfId="1" applyFont="1" applyBorder="1" applyAlignment="1">
      <alignment horizontal="center" vertical="center"/>
    </xf>
    <xf numFmtId="0" fontId="18" fillId="2" borderId="8" xfId="1" applyFont="1" applyBorder="1" applyAlignment="1">
      <alignment horizontal="center" vertical="center"/>
    </xf>
    <xf numFmtId="0" fontId="21" fillId="3" borderId="0" xfId="2" applyFont="1" applyAlignment="1">
      <alignment horizontal="center" vertical="center"/>
    </xf>
    <xf numFmtId="0" fontId="16" fillId="29" borderId="4" xfId="20" applyFont="1" applyBorder="1" applyAlignment="1">
      <alignment horizontal="center" vertical="center"/>
    </xf>
    <xf numFmtId="0" fontId="16" fillId="29" borderId="7" xfId="20" applyFont="1" applyBorder="1" applyAlignment="1">
      <alignment horizontal="center" vertical="center"/>
    </xf>
    <xf numFmtId="0" fontId="20" fillId="29" borderId="5" xfId="20" applyFont="1" applyBorder="1" applyAlignment="1">
      <alignment horizontal="center" vertical="center"/>
    </xf>
    <xf numFmtId="0" fontId="20" fillId="29" borderId="2" xfId="20" applyFont="1" applyBorder="1" applyAlignment="1">
      <alignment horizontal="center" vertical="center"/>
    </xf>
    <xf numFmtId="0" fontId="14" fillId="19" borderId="6" xfId="0" applyFont="1" applyFill="1" applyBorder="1" applyAlignment="1">
      <alignment horizontal="center" vertical="center"/>
    </xf>
    <xf numFmtId="0" fontId="14" fillId="19" borderId="8" xfId="0" applyFont="1" applyFill="1" applyBorder="1" applyAlignment="1">
      <alignment horizontal="center" vertical="center"/>
    </xf>
  </cellXfs>
  <cellStyles count="23">
    <cellStyle name="20% - Accent1" xfId="3" builtinId="30"/>
    <cellStyle name="20% - Accent2" xfId="6" builtinId="34"/>
    <cellStyle name="20% - Accent4" xfId="11" builtinId="42"/>
    <cellStyle name="20% - Accent5" xfId="18" builtinId="46"/>
    <cellStyle name="20% - Accent6" xfId="14" builtinId="50"/>
    <cellStyle name="40% - Accent1" xfId="4" builtinId="31"/>
    <cellStyle name="40% - Accent2" xfId="7" builtinId="35"/>
    <cellStyle name="40% - Accent4" xfId="12" builtinId="43"/>
    <cellStyle name="40% - Accent6" xfId="15" builtinId="51"/>
    <cellStyle name="60% - Accent1" xfId="21" builtinId="32"/>
    <cellStyle name="60% - Accent3" xfId="9" builtinId="40"/>
    <cellStyle name="60% - Accent5" xfId="19" builtinId="48"/>
    <cellStyle name="Accent1" xfId="2" builtinId="29"/>
    <cellStyle name="Accent2" xfId="5" builtinId="33"/>
    <cellStyle name="Accent3" xfId="8" builtinId="37"/>
    <cellStyle name="Accent4" xfId="10" builtinId="41"/>
    <cellStyle name="Accent5" xfId="17" builtinId="45"/>
    <cellStyle name="Accent6" xfId="13" builtinId="49"/>
    <cellStyle name="Bad" xfId="1" builtinId="27"/>
    <cellStyle name="Good" xfId="20" builtinId="26"/>
    <cellStyle name="Input" xfId="16" builtinId="20"/>
    <cellStyle name="Neutral" xfId="22" builtinId="28"/>
    <cellStyle name="Normal" xfId="0" builtinId="0"/>
  </cellStyles>
  <dxfs count="56"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14</xdr:row>
          <xdr:rowOff>66675</xdr:rowOff>
        </xdr:from>
        <xdr:to>
          <xdr:col>11</xdr:col>
          <xdr:colOff>1209675</xdr:colOff>
          <xdr:row>17</xdr:row>
          <xdr:rowOff>104775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15" name="Table573201362116" displayName="Table573201362116" ref="K26:N28" headerRowCount="0" totalsRowShown="0" headerRowDxfId="55" dataDxfId="54">
  <tableColumns count="4">
    <tableColumn id="1" name="Column1" dataDxfId="53"/>
    <tableColumn id="2" name="Column2" dataDxfId="52"/>
    <tableColumn id="3" name="Column3" dataDxfId="51"/>
    <tableColumn id="4" name="Column4" dataDxfId="50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id="116" name="Table5212763117" displayName="Table5212763117" ref="K9:K11" headerRowCount="0" totalsRowShown="0" headerRowDxfId="49" dataDxfId="48">
  <tableColumns count="1">
    <tableColumn id="1" name="Column1" dataDxfId="47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id="117" name="Table57222864118" displayName="Table57222864118" ref="L9:L11" headerRowCount="0" totalsRowShown="0" headerRowDxfId="46" dataDxfId="45">
  <tableColumns count="1">
    <tableColumn id="1" name="Column1" dataDxfId="44"/>
  </tableColumns>
  <tableStyleInfo name="TableStyleLight7" showFirstColumn="0" showLastColumn="0" showRowStripes="1" showColumnStripes="0"/>
</table>
</file>

<file path=xl/tables/table4.xml><?xml version="1.0" encoding="utf-8"?>
<table xmlns="http://schemas.openxmlformats.org/spreadsheetml/2006/main" id="118" name="Table578232965119" displayName="Table578232965119" ref="K4:K6" headerRowCount="0" totalsRowShown="0" headerRowDxfId="43" dataDxfId="42">
  <tableColumns count="1">
    <tableColumn id="1" name="Column1" dataDxfId="41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119" name="Table5789243066120" displayName="Table5789243066120" ref="L4:L6" headerRowCount="0" totalsRowShown="0" headerRowDxfId="40" dataDxfId="39">
  <tableColumns count="1">
    <tableColumn id="1" name="Column1" dataDxfId="3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120" name="Table7323167121" displayName="Table7323167121" ref="N4:S5" headerRowCount="0" totalsRowShown="0" headerRowDxfId="37" dataDxfId="36">
  <tableColumns count="6">
    <tableColumn id="1" name="Column1" dataDxfId="35"/>
    <tableColumn id="2" name="Column2" dataDxfId="34"/>
    <tableColumn id="3" name="Column3" dataDxfId="33"/>
    <tableColumn id="4" name="Column4" dataDxfId="32"/>
    <tableColumn id="5" name="Column5" headerRowDxfId="31" dataDxfId="30"/>
    <tableColumn id="6" name="Column6" headerRowDxfId="29" dataDxfId="2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91" name="Table5732013323892" displayName="Table5732013323892" ref="K26:N28" headerRowCount="0" totalsRowShown="0" headerRowDxfId="27" dataDxfId="26">
  <tableColumns count="4">
    <tableColumn id="1" name="Column1" dataDxfId="25"/>
    <tableColumn id="2" name="Column2" dataDxfId="24"/>
    <tableColumn id="3" name="Column3" dataDxfId="23"/>
    <tableColumn id="4" name="Column4" dataDxfId="2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id="92" name="Table52127333993" displayName="Table52127333993" ref="K9:K11" headerRowCount="0" totalsRowShown="0" headerRowDxfId="21" dataDxfId="20">
  <tableColumns count="1">
    <tableColumn id="1" name="Column1" dataDxfId="19"/>
  </tableColumns>
  <tableStyleInfo name="TableStyleLight3" showFirstColumn="0" showLastColumn="0" showRowStripes="1" showColumnStripes="0"/>
</table>
</file>

<file path=xl/tables/table9.xml><?xml version="1.0" encoding="utf-8"?>
<table xmlns="http://schemas.openxmlformats.org/spreadsheetml/2006/main" id="93" name="Table572228344094" displayName="Table572228344094" ref="L9:L11" headerRowCount="0" totalsRowShown="0" headerRowDxfId="18" dataDxfId="17">
  <tableColumns count="1">
    <tableColumn id="1" name="Column1" dataDxfId="16"/>
  </tableColumns>
  <tableStyleInfo name="TableStyleLight7" showFirstColumn="0" showLastColumn="0" showRowStripes="1" showColumnStripes="0"/>
</table>
</file>

<file path=xl/tables/table10.xml><?xml version="1.0" encoding="utf-8"?>
<table xmlns="http://schemas.openxmlformats.org/spreadsheetml/2006/main" id="94" name="Table5782329354195" displayName="Table5782329354195" ref="K4:K6" headerRowCount="0" totalsRowShown="0" headerRowDxfId="15" dataDxfId="14">
  <tableColumns count="1">
    <tableColumn id="1" name="Column1" dataDxfId="13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95" name="Table57892430364296" displayName="Table57892430364296" ref="L4:L6" headerRowCount="0" totalsRowShown="0" headerRowDxfId="12" dataDxfId="11">
  <tableColumns count="1">
    <tableColumn id="1" name="Column1" dataDxfId="10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96" name="Table73231374397" displayName="Table73231374397" ref="N4:S5" headerRowCount="0" totalsRowShown="0" headerRowDxfId="9" dataDxfId="8">
  <tableColumns count="6">
    <tableColumn id="1" name="Column1" dataDxfId="7"/>
    <tableColumn id="2" name="Column2" dataDxfId="6"/>
    <tableColumn id="3" name="Column3" dataDxfId="5"/>
    <tableColumn id="4" name="Column4" dataDxfId="4"/>
    <tableColumn id="5" name="Column5" headerRowDxfId="3" dataDxfId="2"/>
    <tableColumn id="6" name="Column6" headerRowDxfId="1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1.xml"/><Relationship Id="rId7" Type="http://schemas.openxmlformats.org/officeDocument/2006/relationships/table" Target="../tables/table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10" Type="http://schemas.openxmlformats.org/officeDocument/2006/relationships/table" Target="../tables/table6.xml"/><Relationship Id="rId4" Type="http://schemas.openxmlformats.org/officeDocument/2006/relationships/image" Target="../media/image1.emf"/><Relationship Id="rId9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ontrol" Target="../activeX/activeX2.xml"/><Relationship Id="rId7" Type="http://schemas.openxmlformats.org/officeDocument/2006/relationships/table" Target="../tables/table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10" Type="http://schemas.openxmlformats.org/officeDocument/2006/relationships/table" Target="../tables/table12.xml"/><Relationship Id="rId4" Type="http://schemas.openxmlformats.org/officeDocument/2006/relationships/image" Target="../media/image2.emf"/><Relationship Id="rId9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S30"/>
  <sheetViews>
    <sheetView showGridLines="0" workbookViewId="0">
      <selection activeCell="F30" sqref="F30:G30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110" t="s">
        <v>14</v>
      </c>
      <c r="C2" s="111"/>
      <c r="D2" s="112"/>
      <c r="F2" s="113" t="s">
        <v>3</v>
      </c>
      <c r="G2" s="115" t="s">
        <v>42</v>
      </c>
      <c r="H2" s="117" t="s">
        <v>4</v>
      </c>
      <c r="I2" s="119" t="s">
        <v>42</v>
      </c>
      <c r="K2" s="121" t="s">
        <v>40</v>
      </c>
      <c r="L2" s="97" t="s">
        <v>41</v>
      </c>
      <c r="N2" s="98" t="s">
        <v>44</v>
      </c>
      <c r="O2" s="98"/>
      <c r="P2" s="98"/>
      <c r="Q2" s="98"/>
      <c r="R2" s="98"/>
      <c r="S2" s="98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114"/>
      <c r="G3" s="116"/>
      <c r="H3" s="118"/>
      <c r="I3" s="120"/>
      <c r="K3" s="121"/>
      <c r="L3" s="97"/>
      <c r="N3" s="40" t="str">
        <f>IF(M1=0,"Name","Nome")</f>
        <v>Name</v>
      </c>
      <c r="O3" s="40" t="s">
        <v>45</v>
      </c>
      <c r="P3" s="40" t="str">
        <f>IF(M1=0,"Effect","Efeito")</f>
        <v>Effect</v>
      </c>
      <c r="Q3" s="40" t="str">
        <f>IF(M1=0,"Defense","Defesa")</f>
        <v>Defense</v>
      </c>
      <c r="R3" s="41" t="s">
        <v>46</v>
      </c>
      <c r="S3" s="41" t="s">
        <v>47</v>
      </c>
    </row>
    <row r="4" spans="2:19" ht="15" customHeight="1" x14ac:dyDescent="0.25">
      <c r="B4" s="99" t="s">
        <v>16</v>
      </c>
      <c r="C4" s="100"/>
      <c r="D4" s="101"/>
      <c r="F4" s="102" t="s">
        <v>5</v>
      </c>
      <c r="G4" s="104" t="s">
        <v>42</v>
      </c>
      <c r="H4" s="106" t="s">
        <v>4</v>
      </c>
      <c r="I4" s="108" t="s">
        <v>42</v>
      </c>
      <c r="K4" s="12"/>
      <c r="L4" s="12"/>
      <c r="N4" s="39"/>
      <c r="O4" s="39"/>
      <c r="P4" s="39"/>
      <c r="Q4" s="39"/>
      <c r="R4" s="42"/>
      <c r="S4" s="39"/>
    </row>
    <row r="5" spans="2:19" ht="15.75" customHeight="1" thickBot="1" x14ac:dyDescent="0.3">
      <c r="B5" s="16" t="s">
        <v>7</v>
      </c>
      <c r="C5" s="9"/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1d2</v>
      </c>
      <c r="F5" s="103"/>
      <c r="G5" s="105"/>
      <c r="H5" s="107"/>
      <c r="I5" s="109"/>
      <c r="K5" s="12"/>
      <c r="L5" s="12"/>
      <c r="N5" s="39"/>
      <c r="O5" s="39"/>
      <c r="P5" s="39"/>
      <c r="Q5" s="39"/>
      <c r="R5" s="42"/>
      <c r="S5" s="39"/>
    </row>
    <row r="6" spans="2:19" x14ac:dyDescent="0.25">
      <c r="B6" s="18" t="s">
        <v>12</v>
      </c>
      <c r="C6" s="10"/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1d2</v>
      </c>
      <c r="F6" s="122" t="s">
        <v>37</v>
      </c>
      <c r="G6" s="124" t="s">
        <v>42</v>
      </c>
      <c r="H6" s="82" t="s">
        <v>4</v>
      </c>
      <c r="I6" s="84" t="s">
        <v>42</v>
      </c>
      <c r="K6" s="12"/>
      <c r="L6" s="12"/>
    </row>
    <row r="7" spans="2:19" ht="15.75" customHeight="1" thickBot="1" x14ac:dyDescent="0.3">
      <c r="B7" s="20" t="s">
        <v>13</v>
      </c>
      <c r="C7" s="8"/>
      <c r="D7" s="21" t="str">
        <f t="shared" si="0"/>
        <v>1d2</v>
      </c>
      <c r="F7" s="123"/>
      <c r="G7" s="125"/>
      <c r="H7" s="83"/>
      <c r="I7" s="85"/>
      <c r="K7" s="86" t="s">
        <v>38</v>
      </c>
      <c r="L7" s="96" t="s">
        <v>39</v>
      </c>
      <c r="M7" s="12"/>
      <c r="N7" s="12"/>
      <c r="P7" s="12"/>
      <c r="Q7" s="12"/>
      <c r="R7" s="12"/>
    </row>
    <row r="8" spans="2:19" ht="15.75" thickBot="1" x14ac:dyDescent="0.3">
      <c r="B8" s="87" t="s">
        <v>17</v>
      </c>
      <c r="C8" s="88"/>
      <c r="D8" s="89"/>
      <c r="K8" s="86"/>
      <c r="L8" s="96"/>
      <c r="M8" s="12"/>
      <c r="N8" s="12"/>
      <c r="P8" s="12"/>
      <c r="Q8" s="12"/>
      <c r="R8" s="12"/>
    </row>
    <row r="9" spans="2:19" x14ac:dyDescent="0.25">
      <c r="B9" s="25" t="s">
        <v>43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90" t="s">
        <v>6</v>
      </c>
      <c r="G9" s="92" t="s">
        <v>13</v>
      </c>
      <c r="H9" s="92"/>
      <c r="I9" s="93"/>
      <c r="K9" s="12"/>
      <c r="L9" s="12"/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91"/>
      <c r="G10" s="94"/>
      <c r="H10" s="94"/>
      <c r="I10" s="95"/>
      <c r="K10" s="12"/>
      <c r="L10" s="12"/>
      <c r="M10" s="12"/>
      <c r="N10" s="12"/>
    </row>
    <row r="11" spans="2:19" ht="15.75" customHeight="1" thickBot="1" x14ac:dyDescent="0.3">
      <c r="B11" s="25" t="s">
        <v>19</v>
      </c>
      <c r="C11" s="7"/>
      <c r="D11" s="22" t="str">
        <f t="shared" si="1"/>
        <v>1d2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/>
      <c r="D12" s="24" t="str">
        <f t="shared" si="1"/>
        <v>1d2</v>
      </c>
      <c r="F12" s="61" t="s">
        <v>34</v>
      </c>
      <c r="G12" s="63">
        <f>8+G17</f>
        <v>8</v>
      </c>
      <c r="H12" s="63"/>
      <c r="I12" s="64"/>
      <c r="M12" s="12"/>
      <c r="N12" s="12"/>
    </row>
    <row r="13" spans="2:19" ht="15.75" customHeight="1" thickBot="1" x14ac:dyDescent="0.3">
      <c r="B13" s="67" t="s">
        <v>21</v>
      </c>
      <c r="C13" s="68"/>
      <c r="D13" s="69"/>
      <c r="F13" s="62"/>
      <c r="G13" s="65"/>
      <c r="H13" s="65"/>
      <c r="I13" s="66"/>
    </row>
    <row r="14" spans="2:19" ht="15" customHeight="1" thickBot="1" x14ac:dyDescent="0.3">
      <c r="B14" s="26" t="s">
        <v>22</v>
      </c>
      <c r="C14" s="5"/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70" t="s">
        <v>35</v>
      </c>
      <c r="G15" s="72">
        <v>0</v>
      </c>
      <c r="I15" s="74"/>
      <c r="J15" s="74"/>
      <c r="K15" s="74"/>
    </row>
    <row r="16" spans="2:19" ht="15.75" customHeight="1" thickBot="1" x14ac:dyDescent="0.3">
      <c r="B16" s="30" t="s">
        <v>24</v>
      </c>
      <c r="C16" s="3"/>
      <c r="D16" s="31" t="str">
        <f t="shared" si="2"/>
        <v>1d2</v>
      </c>
      <c r="F16" s="71"/>
      <c r="G16" s="73"/>
      <c r="I16" s="74"/>
      <c r="J16" s="74"/>
      <c r="K16" s="74"/>
    </row>
    <row r="17" spans="2:14" ht="15" customHeight="1" x14ac:dyDescent="0.25">
      <c r="B17" s="75" t="s">
        <v>32</v>
      </c>
      <c r="C17" s="76"/>
      <c r="D17" s="77"/>
      <c r="F17" s="78" t="s">
        <v>36</v>
      </c>
      <c r="G17" s="80">
        <v>0</v>
      </c>
      <c r="I17" s="74"/>
      <c r="J17" s="74"/>
      <c r="K17" s="74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79"/>
      <c r="G18" s="81"/>
      <c r="I18" s="74"/>
      <c r="J18" s="74"/>
      <c r="K18" s="74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/>
      <c r="D20" s="33" t="str">
        <f t="shared" si="3"/>
        <v>1d2</v>
      </c>
      <c r="F20" s="50" t="str">
        <f>IF(P18 = 0, "Defense Calculation", "Cálculo de Defesa")</f>
        <v>Defense Calculation</v>
      </c>
      <c r="G20" s="51"/>
      <c r="H20" s="51"/>
      <c r="I20" s="5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53" t="str">
        <f>IF(P18 = 0, "Post-Defense", "Pós-Defesa")</f>
        <v>Post-Defense</v>
      </c>
      <c r="H21" s="53"/>
      <c r="I21" s="5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55"/>
      <c r="G22" s="57" t="str">
        <f>IF(F22 = "", "", IF(G17 &lt; 0, F22 - (G15), IF(ROUNDUP(F22 * 15/(G17+15) - (G15), 0) &gt;= 0, ROUNDUP(F22 * 15/(G17+15) - (G15), 0), 0)))</f>
        <v/>
      </c>
      <c r="H22" s="57"/>
      <c r="I22" s="5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56"/>
      <c r="G23" s="59"/>
      <c r="H23" s="59"/>
      <c r="I23" s="6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45" t="s">
        <v>9</v>
      </c>
      <c r="L24" s="45" t="s">
        <v>10</v>
      </c>
      <c r="M24" s="45" t="s">
        <v>2</v>
      </c>
      <c r="N24" s="4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46" t="s">
        <v>33</v>
      </c>
      <c r="G25" s="48"/>
      <c r="K25" s="45"/>
      <c r="L25" s="45"/>
      <c r="M25" s="45"/>
      <c r="N25" s="45"/>
    </row>
    <row r="26" spans="2:14" ht="15.75" thickBot="1" x14ac:dyDescent="0.3">
      <c r="F26" s="47"/>
      <c r="G26" s="49"/>
      <c r="K26" s="12"/>
      <c r="L26" s="39"/>
      <c r="M26" s="12"/>
      <c r="N26" s="12"/>
    </row>
    <row r="27" spans="2:14" x14ac:dyDescent="0.25">
      <c r="K27" s="12"/>
      <c r="L27" s="39"/>
      <c r="M27" s="12"/>
      <c r="N27" s="12"/>
    </row>
    <row r="28" spans="2:14" x14ac:dyDescent="0.25"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3" t="s">
        <v>49</v>
      </c>
      <c r="G30" s="44">
        <v>5</v>
      </c>
    </row>
  </sheetData>
  <mergeCells count="41"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  <mergeCell ref="H6:H7"/>
    <mergeCell ref="I6:I7"/>
    <mergeCell ref="K7:K8"/>
    <mergeCell ref="B8:D8"/>
    <mergeCell ref="F9:F10"/>
    <mergeCell ref="G9:I10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M24:M25"/>
    <mergeCell ref="N24:N25"/>
    <mergeCell ref="F25:F26"/>
    <mergeCell ref="G25:G26"/>
    <mergeCell ref="F20:I20"/>
    <mergeCell ref="G21:I21"/>
    <mergeCell ref="F22:F23"/>
    <mergeCell ref="G22:I23"/>
    <mergeCell ref="K24:K25"/>
    <mergeCell ref="L24:L2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4337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S30"/>
  <sheetViews>
    <sheetView showGridLines="0" tabSelected="1" workbookViewId="0">
      <selection activeCell="K31" sqref="K31"/>
    </sheetView>
  </sheetViews>
  <sheetFormatPr defaultRowHeight="15" x14ac:dyDescent="0.25"/>
  <cols>
    <col min="1" max="1" width="0.85546875" customWidth="1"/>
    <col min="2" max="2" width="9.85546875" customWidth="1"/>
    <col min="3" max="3" width="6" customWidth="1"/>
    <col min="4" max="4" width="7.140625" customWidth="1"/>
    <col min="5" max="5" width="1" customWidth="1"/>
    <col min="6" max="6" width="18.140625" bestFit="1" customWidth="1"/>
    <col min="7" max="7" width="10.42578125" customWidth="1"/>
    <col min="8" max="8" width="2.42578125" customWidth="1"/>
    <col min="9" max="9" width="10.140625" customWidth="1"/>
    <col min="10" max="10" width="1" customWidth="1"/>
    <col min="11" max="11" width="19.5703125" customWidth="1"/>
    <col min="12" max="12" width="44.42578125" customWidth="1"/>
    <col min="13" max="13" width="11" customWidth="1"/>
    <col min="14" max="14" width="13.5703125" customWidth="1"/>
    <col min="15" max="15" width="13.28515625" customWidth="1"/>
    <col min="16" max="16" width="28.42578125" customWidth="1"/>
    <col min="17" max="17" width="9.5703125" customWidth="1"/>
    <col min="18" max="18" width="12.7109375" customWidth="1"/>
    <col min="19" max="19" width="15.140625" customWidth="1"/>
  </cols>
  <sheetData>
    <row r="1" spans="2:19" ht="3.75" customHeight="1" thickBot="1" x14ac:dyDescent="0.3"/>
    <row r="2" spans="2:19" ht="15.75" customHeight="1" x14ac:dyDescent="0.25">
      <c r="B2" s="110" t="s">
        <v>14</v>
      </c>
      <c r="C2" s="111"/>
      <c r="D2" s="112"/>
      <c r="F2" s="113" t="s">
        <v>3</v>
      </c>
      <c r="G2" s="115" t="s">
        <v>42</v>
      </c>
      <c r="H2" s="117" t="s">
        <v>4</v>
      </c>
      <c r="I2" s="119" t="s">
        <v>42</v>
      </c>
      <c r="K2" s="121" t="s">
        <v>40</v>
      </c>
      <c r="L2" s="97" t="s">
        <v>41</v>
      </c>
      <c r="N2" s="98" t="s">
        <v>44</v>
      </c>
      <c r="O2" s="98"/>
      <c r="P2" s="98"/>
      <c r="Q2" s="98"/>
      <c r="R2" s="98"/>
      <c r="S2" s="98"/>
    </row>
    <row r="3" spans="2:19" ht="15.75" thickBot="1" x14ac:dyDescent="0.3">
      <c r="B3" s="14" t="s">
        <v>0</v>
      </c>
      <c r="C3" s="11" t="s">
        <v>15</v>
      </c>
      <c r="D3" s="15" t="s">
        <v>1</v>
      </c>
      <c r="F3" s="114"/>
      <c r="G3" s="116"/>
      <c r="H3" s="118"/>
      <c r="I3" s="120"/>
      <c r="K3" s="121"/>
      <c r="L3" s="97"/>
      <c r="N3" s="40" t="str">
        <f>IF(M1=0,"Name","Nome")</f>
        <v>Name</v>
      </c>
      <c r="O3" s="40" t="s">
        <v>45</v>
      </c>
      <c r="P3" s="40" t="str">
        <f>IF(M1=0,"Effect","Efeito")</f>
        <v>Effect</v>
      </c>
      <c r="Q3" s="40" t="str">
        <f>IF(M1=0,"Defense","Defesa")</f>
        <v>Defense</v>
      </c>
      <c r="R3" s="41" t="s">
        <v>46</v>
      </c>
      <c r="S3" s="41" t="s">
        <v>47</v>
      </c>
    </row>
    <row r="4" spans="2:19" ht="15" customHeight="1" x14ac:dyDescent="0.25">
      <c r="B4" s="99" t="s">
        <v>16</v>
      </c>
      <c r="C4" s="100"/>
      <c r="D4" s="101"/>
      <c r="F4" s="102" t="s">
        <v>5</v>
      </c>
      <c r="G4" s="104" t="s">
        <v>42</v>
      </c>
      <c r="H4" s="106" t="s">
        <v>4</v>
      </c>
      <c r="I4" s="108" t="s">
        <v>42</v>
      </c>
      <c r="K4" s="12"/>
      <c r="L4" s="12"/>
      <c r="N4" s="39"/>
      <c r="O4" s="39"/>
      <c r="P4" s="39"/>
      <c r="Q4" s="39"/>
      <c r="R4" s="42"/>
      <c r="S4" s="39"/>
    </row>
    <row r="5" spans="2:19" ht="15.75" customHeight="1" thickBot="1" x14ac:dyDescent="0.3">
      <c r="B5" s="16" t="s">
        <v>7</v>
      </c>
      <c r="C5" s="9"/>
      <c r="D5" s="17" t="str">
        <f>IF($C5 &lt;= 0, "1d2", IF($C5 = 1, "1d4", IF($C5  = 2, "1d6", IF($C5  = 3, "1d8", IF($C5  = 4, "1d10", IF($C5  = 5, "2d6", IF($C5  = 6, "2d8", IF($C5  = 7, "2d10", IF($C5  = 8, "3d8", IF($C5  = 9, "3d10", IF($C5  = 10, "4d8", )))))))))))</f>
        <v>1d2</v>
      </c>
      <c r="F5" s="103"/>
      <c r="G5" s="105"/>
      <c r="H5" s="107"/>
      <c r="I5" s="109"/>
      <c r="K5" s="12"/>
      <c r="L5" s="12"/>
      <c r="N5" s="39"/>
      <c r="O5" s="39"/>
      <c r="P5" s="39"/>
      <c r="Q5" s="39"/>
      <c r="R5" s="42"/>
      <c r="S5" s="39"/>
    </row>
    <row r="6" spans="2:19" x14ac:dyDescent="0.25">
      <c r="B6" s="18" t="s">
        <v>12</v>
      </c>
      <c r="C6" s="10"/>
      <c r="D6" s="19" t="str">
        <f t="shared" ref="D6:D7" si="0">IF($C6 &lt;= 0, "1d2", IF($C6 = 1, "1d4", IF($C6  = 2, "1d6", IF($C6  = 3, "1d8", IF($C6  = 4, "1d10", IF($C6  = 5, "2d6", IF($C6  = 6, "2d8", IF($C6  = 7, "2d10", IF($C6  = 8, "3d8", IF($C6  = 9, "3d10", IF($C6  = 10, "4d8", )))))))))))</f>
        <v>1d2</v>
      </c>
      <c r="F6" s="122" t="s">
        <v>37</v>
      </c>
      <c r="G6" s="124" t="s">
        <v>42</v>
      </c>
      <c r="H6" s="82" t="s">
        <v>4</v>
      </c>
      <c r="I6" s="84" t="s">
        <v>42</v>
      </c>
      <c r="K6" s="12"/>
      <c r="L6" s="12"/>
    </row>
    <row r="7" spans="2:19" ht="15.75" customHeight="1" thickBot="1" x14ac:dyDescent="0.3">
      <c r="B7" s="20" t="s">
        <v>13</v>
      </c>
      <c r="C7" s="8"/>
      <c r="D7" s="21" t="str">
        <f t="shared" si="0"/>
        <v>1d2</v>
      </c>
      <c r="F7" s="123"/>
      <c r="G7" s="125"/>
      <c r="H7" s="83"/>
      <c r="I7" s="85"/>
      <c r="K7" s="86" t="s">
        <v>38</v>
      </c>
      <c r="L7" s="96" t="s">
        <v>39</v>
      </c>
      <c r="M7" s="12"/>
      <c r="N7" s="12"/>
      <c r="P7" s="12"/>
      <c r="Q7" s="12"/>
      <c r="R7" s="12"/>
    </row>
    <row r="8" spans="2:19" ht="15.75" thickBot="1" x14ac:dyDescent="0.3">
      <c r="B8" s="87" t="s">
        <v>17</v>
      </c>
      <c r="C8" s="88"/>
      <c r="D8" s="89"/>
      <c r="K8" s="86"/>
      <c r="L8" s="96"/>
      <c r="M8" s="12"/>
      <c r="N8" s="12"/>
      <c r="P8" s="12"/>
      <c r="Q8" s="12"/>
      <c r="R8" s="12"/>
    </row>
    <row r="9" spans="2:19" x14ac:dyDescent="0.25">
      <c r="B9" s="25" t="s">
        <v>43</v>
      </c>
      <c r="C9" s="7"/>
      <c r="D9" s="22" t="str">
        <f t="shared" ref="D9:D12" si="1">IF($C9 &lt;= 0, "1d2", IF($C9 = 1, "1d4", IF($C9  = 2, "1d6", IF($C9  = 3, "1d8", IF($C9  = 4, "1d10", IF($C9  = 5, "2d6", IF($C9  = 6, "2d8", IF($C9  = 7, "2d10", IF($C9  = 8, "3d8", IF($C9  = 9, "3d10", IF($C9  = 10, "4d8", )))))))))))</f>
        <v>1d2</v>
      </c>
      <c r="F9" s="90" t="s">
        <v>6</v>
      </c>
      <c r="G9" s="92" t="s">
        <v>13</v>
      </c>
      <c r="H9" s="92"/>
      <c r="I9" s="93"/>
      <c r="K9" s="12"/>
      <c r="L9" s="12"/>
      <c r="M9" s="12"/>
      <c r="N9" s="12"/>
    </row>
    <row r="10" spans="2:19" ht="15" customHeight="1" thickBot="1" x14ac:dyDescent="0.3">
      <c r="B10" s="23" t="s">
        <v>18</v>
      </c>
      <c r="C10" s="6"/>
      <c r="D10" s="24" t="str">
        <f t="shared" si="1"/>
        <v>1d2</v>
      </c>
      <c r="F10" s="91"/>
      <c r="G10" s="94"/>
      <c r="H10" s="94"/>
      <c r="I10" s="95"/>
      <c r="K10" s="12"/>
      <c r="L10" s="12"/>
      <c r="M10" s="12"/>
      <c r="N10" s="12"/>
    </row>
    <row r="11" spans="2:19" ht="15.75" customHeight="1" thickBot="1" x14ac:dyDescent="0.3">
      <c r="B11" s="25" t="s">
        <v>19</v>
      </c>
      <c r="C11" s="7"/>
      <c r="D11" s="22" t="str">
        <f t="shared" si="1"/>
        <v>1d2</v>
      </c>
      <c r="K11" s="12"/>
      <c r="L11" s="12"/>
      <c r="M11" s="12"/>
      <c r="N11" s="12"/>
    </row>
    <row r="12" spans="2:19" ht="15.75" customHeight="1" thickBot="1" x14ac:dyDescent="0.3">
      <c r="B12" s="23" t="s">
        <v>20</v>
      </c>
      <c r="C12" s="6"/>
      <c r="D12" s="24" t="str">
        <f t="shared" si="1"/>
        <v>1d2</v>
      </c>
      <c r="F12" s="61" t="s">
        <v>34</v>
      </c>
      <c r="G12" s="63">
        <f>8+G17</f>
        <v>8</v>
      </c>
      <c r="H12" s="63"/>
      <c r="I12" s="64"/>
      <c r="M12" s="12"/>
      <c r="N12" s="12"/>
    </row>
    <row r="13" spans="2:19" ht="15.75" customHeight="1" thickBot="1" x14ac:dyDescent="0.3">
      <c r="B13" s="67" t="s">
        <v>21</v>
      </c>
      <c r="C13" s="68"/>
      <c r="D13" s="69"/>
      <c r="F13" s="62"/>
      <c r="G13" s="65"/>
      <c r="H13" s="65"/>
      <c r="I13" s="66"/>
    </row>
    <row r="14" spans="2:19" ht="15" customHeight="1" thickBot="1" x14ac:dyDescent="0.3">
      <c r="B14" s="26" t="s">
        <v>22</v>
      </c>
      <c r="C14" s="5"/>
      <c r="D14" s="27" t="str">
        <f t="shared" ref="D14:D16" si="2">IF($C14 &lt;= 0, "1d2", IF($C14 = 1, "1d4", IF($C14  = 2, "1d6", IF($C14  = 3, "1d8", IF($C14  = 4, "1d10", IF($C14  = 5, "2d6", IF($C14  = 6, "2d8", IF($C14  = 7, "2d10", IF($C14  = 8, "3d8", IF($C14  = 9, "3d10", IF($C14  = 10, "4d8", )))))))))))</f>
        <v>1d2</v>
      </c>
    </row>
    <row r="15" spans="2:19" ht="15" customHeight="1" x14ac:dyDescent="0.25">
      <c r="B15" s="28" t="s">
        <v>23</v>
      </c>
      <c r="C15" s="4"/>
      <c r="D15" s="29" t="str">
        <f t="shared" si="2"/>
        <v>1d2</v>
      </c>
      <c r="F15" s="70" t="s">
        <v>35</v>
      </c>
      <c r="G15" s="72"/>
      <c r="I15" s="74"/>
      <c r="J15" s="74"/>
      <c r="K15" s="74"/>
    </row>
    <row r="16" spans="2:19" ht="15.75" customHeight="1" thickBot="1" x14ac:dyDescent="0.3">
      <c r="B16" s="30" t="s">
        <v>24</v>
      </c>
      <c r="C16" s="3"/>
      <c r="D16" s="31" t="str">
        <f t="shared" si="2"/>
        <v>1d2</v>
      </c>
      <c r="F16" s="71"/>
      <c r="G16" s="73"/>
      <c r="I16" s="74"/>
      <c r="J16" s="74"/>
      <c r="K16" s="74"/>
    </row>
    <row r="17" spans="2:14" ht="15" customHeight="1" x14ac:dyDescent="0.25">
      <c r="B17" s="75" t="s">
        <v>32</v>
      </c>
      <c r="C17" s="76"/>
      <c r="D17" s="77"/>
      <c r="F17" s="78" t="s">
        <v>36</v>
      </c>
      <c r="G17" s="80"/>
      <c r="I17" s="74"/>
      <c r="J17" s="74"/>
      <c r="K17" s="74"/>
    </row>
    <row r="18" spans="2:14" ht="15.75" customHeight="1" thickBot="1" x14ac:dyDescent="0.3">
      <c r="B18" s="32" t="s">
        <v>25</v>
      </c>
      <c r="C18" s="1"/>
      <c r="D18" s="33" t="str">
        <f t="shared" ref="D18:D25" si="3">IF($C18 &lt;= 0, "1d2", IF($C18 = 1, "1d4", IF($C18  = 2, "1d6", IF($C18  = 3, "1d8", IF($C18  = 4, "1d10", IF($C18  = 5, "2d6", IF($C18  = 6, "2d8", IF($C18  = 7, "2d10", IF($C18  = 8, "3d8", IF($C18  = 9, "3d10", IF($C18  = 10, "4d8", )))))))))))</f>
        <v>1d2</v>
      </c>
      <c r="F18" s="79"/>
      <c r="G18" s="81"/>
      <c r="I18" s="74"/>
      <c r="J18" s="74"/>
      <c r="K18" s="74"/>
    </row>
    <row r="19" spans="2:14" ht="15.75" thickBot="1" x14ac:dyDescent="0.3">
      <c r="B19" s="34" t="s">
        <v>26</v>
      </c>
      <c r="C19" s="2"/>
      <c r="D19" s="35" t="str">
        <f t="shared" si="3"/>
        <v>1d2</v>
      </c>
    </row>
    <row r="20" spans="2:14" x14ac:dyDescent="0.25">
      <c r="B20" s="32" t="s">
        <v>27</v>
      </c>
      <c r="C20" s="1"/>
      <c r="D20" s="33" t="str">
        <f t="shared" si="3"/>
        <v>1d2</v>
      </c>
      <c r="F20" s="50" t="str">
        <f>IF(P18 = 0, "Defense Calculation", "Cálculo de Defesa")</f>
        <v>Defense Calculation</v>
      </c>
      <c r="G20" s="51"/>
      <c r="H20" s="51"/>
      <c r="I20" s="52"/>
    </row>
    <row r="21" spans="2:14" x14ac:dyDescent="0.25">
      <c r="B21" s="34" t="s">
        <v>28</v>
      </c>
      <c r="C21" s="2"/>
      <c r="D21" s="35" t="str">
        <f t="shared" si="3"/>
        <v>1d2</v>
      </c>
      <c r="F21" s="13" t="str">
        <f>IF(P18 = 0, "Pre-Defense", "Antes da Defesa")</f>
        <v>Pre-Defense</v>
      </c>
      <c r="G21" s="53" t="str">
        <f>IF(P18 = 0, "Post-Defense", "Pós-Defesa")</f>
        <v>Post-Defense</v>
      </c>
      <c r="H21" s="53"/>
      <c r="I21" s="54"/>
    </row>
    <row r="22" spans="2:14" ht="15" customHeight="1" x14ac:dyDescent="0.25">
      <c r="B22" s="32" t="s">
        <v>29</v>
      </c>
      <c r="C22" s="1"/>
      <c r="D22" s="33" t="str">
        <f t="shared" si="3"/>
        <v>1d2</v>
      </c>
      <c r="F22" s="55"/>
      <c r="G22" s="57" t="str">
        <f>IF(F22 = "", "", IF(G17 &lt; 0, F22 - (G15), IF(ROUNDUP(F22 - (G15), 0) &gt;= 0, ROUNDUP(F22 - (G15), 0), 0)))</f>
        <v/>
      </c>
      <c r="H22" s="57"/>
      <c r="I22" s="58"/>
    </row>
    <row r="23" spans="2:14" ht="15.75" customHeight="1" thickBot="1" x14ac:dyDescent="0.3">
      <c r="B23" s="34" t="s">
        <v>8</v>
      </c>
      <c r="C23" s="2"/>
      <c r="D23" s="35" t="str">
        <f t="shared" si="3"/>
        <v>1d2</v>
      </c>
      <c r="F23" s="56"/>
      <c r="G23" s="59"/>
      <c r="H23" s="59"/>
      <c r="I23" s="60"/>
    </row>
    <row r="24" spans="2:14" ht="15.75" thickBot="1" x14ac:dyDescent="0.3">
      <c r="B24" s="32" t="s">
        <v>30</v>
      </c>
      <c r="C24" s="1"/>
      <c r="D24" s="33" t="str">
        <f t="shared" si="3"/>
        <v>1d2</v>
      </c>
      <c r="K24" s="45" t="s">
        <v>9</v>
      </c>
      <c r="L24" s="45" t="s">
        <v>10</v>
      </c>
      <c r="M24" s="45" t="s">
        <v>2</v>
      </c>
      <c r="N24" s="45" t="s">
        <v>11</v>
      </c>
    </row>
    <row r="25" spans="2:14" ht="15" customHeight="1" thickBot="1" x14ac:dyDescent="0.3">
      <c r="B25" s="36" t="s">
        <v>31</v>
      </c>
      <c r="C25" s="37"/>
      <c r="D25" s="38" t="str">
        <f t="shared" si="3"/>
        <v>1d2</v>
      </c>
      <c r="F25" s="46" t="s">
        <v>33</v>
      </c>
      <c r="G25" s="48">
        <v>1</v>
      </c>
      <c r="K25" s="45"/>
      <c r="L25" s="45"/>
      <c r="M25" s="45"/>
      <c r="N25" s="45"/>
    </row>
    <row r="26" spans="2:14" ht="15.75" thickBot="1" x14ac:dyDescent="0.3">
      <c r="F26" s="47"/>
      <c r="G26" s="49"/>
      <c r="K26" s="12"/>
      <c r="L26" s="39"/>
      <c r="M26" s="12"/>
      <c r="N26" s="12"/>
    </row>
    <row r="27" spans="2:14" ht="15" customHeight="1" x14ac:dyDescent="0.25">
      <c r="F27" s="90" t="s">
        <v>48</v>
      </c>
      <c r="G27" s="126">
        <v>1</v>
      </c>
      <c r="K27" s="12"/>
      <c r="L27" s="39"/>
      <c r="M27" s="12"/>
      <c r="N27" s="12"/>
    </row>
    <row r="28" spans="2:14" ht="15" customHeight="1" thickBot="1" x14ac:dyDescent="0.3">
      <c r="F28" s="91"/>
      <c r="G28" s="127"/>
      <c r="K28" s="12"/>
      <c r="L28" s="39"/>
      <c r="M28" s="12"/>
      <c r="N28" s="12"/>
    </row>
    <row r="29" spans="2:14" x14ac:dyDescent="0.25">
      <c r="K29" s="12"/>
      <c r="L29" s="39"/>
      <c r="M29" s="12"/>
      <c r="N29" s="12"/>
    </row>
    <row r="30" spans="2:14" ht="18.75" x14ac:dyDescent="0.3">
      <c r="F30" s="43" t="s">
        <v>49</v>
      </c>
      <c r="G30" s="44">
        <v>5</v>
      </c>
    </row>
  </sheetData>
  <mergeCells count="43">
    <mergeCell ref="L7:L8"/>
    <mergeCell ref="L2:L3"/>
    <mergeCell ref="N2:S2"/>
    <mergeCell ref="B4:D4"/>
    <mergeCell ref="F4:F5"/>
    <mergeCell ref="G4:G5"/>
    <mergeCell ref="H4:H5"/>
    <mergeCell ref="I4:I5"/>
    <mergeCell ref="B2:D2"/>
    <mergeCell ref="F2:F3"/>
    <mergeCell ref="G2:G3"/>
    <mergeCell ref="H2:H3"/>
    <mergeCell ref="I2:I3"/>
    <mergeCell ref="K2:K3"/>
    <mergeCell ref="F6:F7"/>
    <mergeCell ref="G6:G7"/>
    <mergeCell ref="H6:H7"/>
    <mergeCell ref="I6:I7"/>
    <mergeCell ref="K7:K8"/>
    <mergeCell ref="B8:D8"/>
    <mergeCell ref="F9:F10"/>
    <mergeCell ref="G9:I10"/>
    <mergeCell ref="F12:F13"/>
    <mergeCell ref="G12:I13"/>
    <mergeCell ref="B13:D13"/>
    <mergeCell ref="F15:F16"/>
    <mergeCell ref="G15:G16"/>
    <mergeCell ref="I15:K18"/>
    <mergeCell ref="B17:D17"/>
    <mergeCell ref="F17:F18"/>
    <mergeCell ref="G17:G18"/>
    <mergeCell ref="F20:I20"/>
    <mergeCell ref="G21:I21"/>
    <mergeCell ref="F22:F23"/>
    <mergeCell ref="G22:I23"/>
    <mergeCell ref="K24:K25"/>
    <mergeCell ref="M24:M25"/>
    <mergeCell ref="N24:N25"/>
    <mergeCell ref="F25:F26"/>
    <mergeCell ref="G25:G26"/>
    <mergeCell ref="F27:F28"/>
    <mergeCell ref="G27:G28"/>
    <mergeCell ref="L24:L2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11</xdr:col>
                <xdr:colOff>171450</xdr:colOff>
                <xdr:row>14</xdr:row>
                <xdr:rowOff>66675</xdr:rowOff>
              </from>
              <to>
                <xdr:col>11</xdr:col>
                <xdr:colOff>1209675</xdr:colOff>
                <xdr:row>17</xdr:row>
                <xdr:rowOff>104775</xdr:rowOff>
              </to>
            </anchor>
          </controlPr>
        </control>
      </mc:Choice>
      <mc:Fallback>
        <control shapeId="12289" r:id="rId3" name="CommandButton1"/>
      </mc:Fallback>
    </mc:AlternateContent>
  </controls>
  <tableParts count="6">
    <tablePart r:id="rId5"/>
    <tablePart r:id="rId6"/>
    <tablePart r:id="rId7"/>
    <tablePart r:id="rId8"/>
    <tablePart r:id="rId9"/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Enemy Sheet Template</vt:lpstr>
      <vt:lpstr>Boss sheet Template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2018-02-05T19:33:52Z</dcterms:created>
  <dcterms:modified xsi:type="dcterms:W3CDTF">2018-11-15T22:34:23Z</dcterms:modified>
</cp:coreProperties>
</file>